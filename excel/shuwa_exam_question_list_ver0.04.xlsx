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22710" yWindow="1860" windowWidth="21600" windowHeight="11295" tabRatio="600" firstSheet="0" activeTab="0" autoFilterDateGrouping="1"/>
  </bookViews>
  <sheets>
    <sheet xmlns:r="http://schemas.openxmlformats.org/officeDocument/2006/relationships" name="shuwa" sheetId="1" state="visible" r:id="rId1"/>
    <sheet xmlns:r="http://schemas.openxmlformats.org/officeDocument/2006/relationships" name="writing" sheetId="2" state="visible" r:id="rId2"/>
    <sheet xmlns:r="http://schemas.openxmlformats.org/officeDocument/2006/relationships" name="Reference" sheetId="3" state="visible" r:id="rId3"/>
    <sheet xmlns:r="http://schemas.openxmlformats.org/officeDocument/2006/relationships" name="Sheet1" sheetId="4" state="visible" r:id="rId4"/>
  </sheets>
  <definedNames>
    <definedName name="_xlnm._FilterDatabase" localSheetId="0" hidden="1">'shuwa'!$A$1:$K$317</definedName>
    <definedName name="_xlnm._FilterDatabase" localSheetId="1" hidden="1">'writing'!$A$1:$I$65</definedName>
    <definedName name="_xlnm._FilterDatabase" localSheetId="3" hidden="1">'Sheet1'!$C$3:$D$23</definedName>
  </definedNames>
  <calcPr calcId="191029" fullCalcOnLoad="1"/>
</workbook>
</file>

<file path=xl/styles.xml><?xml version="1.0" encoding="utf-8"?>
<styleSheet xmlns="http://schemas.openxmlformats.org/spreadsheetml/2006/main">
  <numFmts count="0"/>
  <fonts count="6">
    <font>
      <name val="Yu Gothic"/>
      <family val="2"/>
      <color theme="1"/>
      <sz val="11"/>
      <scheme val="minor"/>
    </font>
    <font>
      <name val="meiryo ui"/>
      <charset val="128"/>
      <family val="2"/>
      <color theme="1"/>
      <sz val="11"/>
    </font>
    <font>
      <name val="Yu Gothic"/>
      <charset val="128"/>
      <family val="3"/>
      <sz val="6"/>
      <scheme val="minor"/>
    </font>
    <font>
      <name val="Meiryo UI"/>
      <charset val="128"/>
      <family val="3"/>
      <color theme="1"/>
      <sz val="11"/>
    </font>
    <font>
      <name val="Segoe UI Symbol"/>
      <family val="3"/>
      <color theme="1"/>
      <sz val="11"/>
    </font>
    <font>
      <name val="Yu Gothic"/>
      <family val="2"/>
      <color theme="10"/>
      <sz val="11"/>
      <u val="single"/>
      <scheme val="minor"/>
    </font>
  </fonts>
  <fills count="6">
    <fill>
      <patternFill/>
    </fill>
    <fill>
      <patternFill patternType="gray125"/>
    </fill>
    <fill>
      <patternFill patternType="solid">
        <fgColor theme="5" tint="0.7999816888943144"/>
        <bgColor indexed="64"/>
      </patternFill>
    </fill>
    <fill>
      <patternFill patternType="solid">
        <fgColor theme="8" tint="0.5999938962981048"/>
        <bgColor indexed="64"/>
      </patternFill>
    </fill>
    <fill>
      <patternFill patternType="solid">
        <fgColor theme="7" tint="0.7999816888943144"/>
        <bgColor indexed="64"/>
      </patternFill>
    </fill>
    <fill>
      <patternFill patternType="solid">
        <fgColor theme="7" tint="0.5999938962981048"/>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3">
    <xf numFmtId="0" fontId="0" fillId="0" borderId="0"/>
    <xf numFmtId="0" fontId="1" fillId="0" borderId="0" applyAlignment="1">
      <alignment vertical="center"/>
    </xf>
    <xf numFmtId="0" fontId="5" fillId="0" borderId="0"/>
  </cellStyleXfs>
  <cellXfs count="19">
    <xf numFmtId="0" fontId="0" fillId="0" borderId="0" pivotButton="0" quotePrefix="0" xfId="0"/>
    <xf numFmtId="0" fontId="3" fillId="0" borderId="1" applyAlignment="1" pivotButton="0" quotePrefix="0" xfId="0">
      <alignment horizontal="left" vertical="top"/>
    </xf>
    <xf numFmtId="0" fontId="3" fillId="0" borderId="1" applyAlignment="1" pivotButton="0" quotePrefix="0" xfId="0">
      <alignment horizontal="left" vertical="top" wrapText="1"/>
    </xf>
    <xf numFmtId="0" fontId="0" fillId="0" borderId="1" applyAlignment="1" pivotButton="0" quotePrefix="0" xfId="0">
      <alignment horizontal="left" vertical="top" wrapText="1"/>
    </xf>
    <xf numFmtId="0" fontId="0" fillId="0" borderId="1" applyAlignment="1" pivotButton="0" quotePrefix="0" xfId="0">
      <alignment horizontal="left" vertical="top"/>
    </xf>
    <xf numFmtId="0" fontId="3" fillId="0" borderId="0" applyAlignment="1" pivotButton="0" quotePrefix="0" xfId="0">
      <alignment horizontal="left" vertical="top"/>
    </xf>
    <xf numFmtId="0" fontId="0" fillId="0" borderId="0" applyAlignment="1" pivotButton="0" quotePrefix="0" xfId="0">
      <alignment horizontal="left" vertical="top"/>
    </xf>
    <xf numFmtId="0" fontId="3" fillId="0" borderId="0" applyAlignment="1" pivotButton="0" quotePrefix="0" xfId="0">
      <alignment horizontal="left" vertical="top" wrapText="1"/>
    </xf>
    <xf numFmtId="0" fontId="3" fillId="2" borderId="1" applyAlignment="1" pivotButton="0" quotePrefix="0" xfId="0">
      <alignment horizontal="left" vertical="top" wrapText="1"/>
    </xf>
    <xf numFmtId="49" fontId="3" fillId="0" borderId="1" applyAlignment="1" pivotButton="0" quotePrefix="0" xfId="0">
      <alignment horizontal="left" vertical="top"/>
    </xf>
    <xf numFmtId="49" fontId="3" fillId="0" borderId="0" applyAlignment="1" pivotButton="0" quotePrefix="0" xfId="0">
      <alignment horizontal="left" vertical="top"/>
    </xf>
    <xf numFmtId="49" fontId="3" fillId="0" borderId="1" applyAlignment="1" pivotButton="0" quotePrefix="0" xfId="0">
      <alignment horizontal="left" vertical="top" wrapText="1"/>
    </xf>
    <xf numFmtId="49" fontId="3" fillId="0" borderId="0" applyAlignment="1" pivotButton="0" quotePrefix="0" xfId="0">
      <alignment horizontal="left" vertical="top" wrapText="1"/>
    </xf>
    <xf numFmtId="0" fontId="3" fillId="3" borderId="1" applyAlignment="1" pivotButton="0" quotePrefix="0" xfId="0">
      <alignment horizontal="left" vertical="top" wrapText="1"/>
    </xf>
    <xf numFmtId="0" fontId="3" fillId="4" borderId="1" applyAlignment="1" pivotButton="0" quotePrefix="0" xfId="0">
      <alignment horizontal="left" vertical="top" wrapText="1"/>
    </xf>
    <xf numFmtId="0" fontId="5" fillId="0" borderId="0" pivotButton="0" quotePrefix="0" xfId="2"/>
    <xf numFmtId="0" fontId="3" fillId="5" borderId="1" applyAlignment="1" pivotButton="0" quotePrefix="0" xfId="0">
      <alignment horizontal="left" vertical="top"/>
    </xf>
    <xf numFmtId="0" fontId="3" fillId="5" borderId="1" applyAlignment="1" pivotButton="0" quotePrefix="0" xfId="0">
      <alignment horizontal="left" vertical="top" wrapText="1"/>
    </xf>
    <xf numFmtId="0" fontId="3" fillId="5" borderId="0" applyAlignment="1" pivotButton="0" quotePrefix="0" xfId="0">
      <alignment horizontal="left" vertical="top"/>
    </xf>
  </cellXfs>
  <cellStyles count="3">
    <cellStyle name="標準" xfId="0" builtinId="0"/>
    <cellStyle name="標準 2" xfId="1"/>
    <cellStyle name="ハイパーリンク" xfId="2"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Relationships xmlns="http://schemas.openxmlformats.org/package/2006/relationships"><Relationship Type="http://schemas.openxmlformats.org/officeDocument/2006/relationships/hyperlink" Target="https://youtu.be/yzKVaRFlHg0" TargetMode="External" Id="rId1"/></Relationships>
</file>

<file path=xl/worksheets/_rels/sheet4.xml.rels><Relationships xmlns="http://schemas.openxmlformats.org/package/2006/relationships"><Relationship Type="http://schemas.openxmlformats.org/officeDocument/2006/relationships/hyperlink" Target="https://chuohoki.socialcast.jp/contents/1046" TargetMode="External" Id="rId1"/><Relationship Type="http://schemas.openxmlformats.org/officeDocument/2006/relationships/hyperlink" Target="https://chuohoki.socialcast.jp/contents/1049" TargetMode="External" Id="rId2"/><Relationship Type="http://schemas.openxmlformats.org/officeDocument/2006/relationships/hyperlink" Target="https://chuohoki.socialcast.jp/contents/1051" TargetMode="External" Id="rId3"/></Relationships>
</file>

<file path=xl/worksheets/sheet1.xml><?xml version="1.0" encoding="utf-8"?>
<worksheet xmlns="http://schemas.openxmlformats.org/spreadsheetml/2006/main">
  <sheetPr codeName="Sheet1" filterMode="1">
    <outlinePr summaryBelow="1" summaryRight="1"/>
    <pageSetUpPr/>
  </sheetPr>
  <dimension ref="A1:K317"/>
  <sheetViews>
    <sheetView showGridLines="0" tabSelected="1" zoomScale="85" zoomScaleNormal="85" workbookViewId="0">
      <pane ySplit="1" topLeftCell="A248" activePane="bottomLeft" state="frozen"/>
      <selection pane="bottomLeft" activeCell="F249" sqref="F249"/>
    </sheetView>
  </sheetViews>
  <sheetFormatPr baseColWidth="8" defaultColWidth="9" defaultRowHeight="15.75"/>
  <cols>
    <col width="5.25" bestFit="1" customWidth="1" style="5" min="1" max="1"/>
    <col outlineLevel="1" width="9.875" customWidth="1" style="5" min="2" max="2"/>
    <col outlineLevel="1" width="8.5" customWidth="1" style="5" min="3" max="3"/>
    <col outlineLevel="1" width="9.25" customWidth="1" style="5" min="4" max="4"/>
    <col outlineLevel="1" width="20.125" customWidth="1" style="5" min="5" max="5"/>
    <col outlineLevel="1" width="39.5" customWidth="1" style="5" min="6" max="6"/>
    <col outlineLevel="1" width="40.75" customWidth="1" style="5" min="7" max="7"/>
    <col outlineLevel="1" width="10.375" customWidth="1" style="5" min="8" max="8"/>
    <col width="39.875" customWidth="1" style="10" min="9" max="9"/>
    <col width="57.625" bestFit="1" customWidth="1" style="7" min="10" max="10"/>
    <col width="9" customWidth="1" style="5" min="11" max="16384"/>
  </cols>
  <sheetData>
    <row r="1">
      <c r="A1" s="1" t="inlineStr">
        <is>
          <t>#</t>
        </is>
      </c>
      <c r="B1" s="1" t="inlineStr">
        <is>
          <t>Year</t>
        </is>
      </c>
      <c r="C1" s="1" t="inlineStr">
        <is>
          <t>Level</t>
        </is>
      </c>
      <c r="D1" s="1" t="inlineStr">
        <is>
          <t>Type</t>
        </is>
      </c>
      <c r="E1" s="1" t="inlineStr">
        <is>
          <t>ストーリーナンバリング</t>
        </is>
      </c>
      <c r="F1" s="1" t="inlineStr">
        <is>
          <t>Theme</t>
        </is>
      </c>
      <c r="G1" s="1" t="inlineStr">
        <is>
          <t>Option</t>
        </is>
      </c>
      <c r="H1" s="1" t="inlineStr">
        <is>
          <t>Answer</t>
        </is>
      </c>
      <c r="I1" s="9" t="inlineStr">
        <is>
          <t>Reference</t>
        </is>
      </c>
      <c r="J1" s="2" t="inlineStr">
        <is>
          <t>Detail</t>
        </is>
      </c>
      <c r="K1" s="1" t="inlineStr">
        <is>
          <t>PIC</t>
        </is>
      </c>
    </row>
    <row r="2" hidden="1" ht="168.75" customFormat="1" customHeight="1" s="6">
      <c r="A2" s="1">
        <f>ROW()-1</f>
        <v/>
      </c>
      <c r="B2" s="1" t="inlineStr">
        <is>
          <t>unknown</t>
        </is>
      </c>
      <c r="C2" s="1" t="n">
        <v>5</v>
      </c>
      <c r="D2" s="1" t="inlineStr">
        <is>
          <t>スピーチ</t>
        </is>
      </c>
      <c r="E2" s="1">
        <f>IF(D2="ストーリー", INT((COUNTIF($D$2:D2, "ストーリー")-1)/3) + 1, "NA")</f>
        <v/>
      </c>
      <c r="F2" s="1" t="inlineStr">
        <is>
          <t>◎自分または家族の「得意なこと」「苦手なこと」を話してください。</t>
        </is>
      </c>
      <c r="G2" s="1" t="n"/>
      <c r="H2" s="1" t="n"/>
      <c r="I2" s="1" t="n"/>
      <c r="J2" s="3" t="inlineStr">
        <is>
          <t>【Sample】
私の得意なことと苦手なことをお話します。
私の得意なことはスポーツです。
バスケ、野球などが好きでいつも友達と遊んでいます。
私の苦手なことは本を読むことです。
仕事の資料を読んでいると疲れてしまいます。
※2つのことを聞かれているときは「指の代理表現」で一文ずつくらい回答すればちょうどいいくらいかも？</t>
        </is>
      </c>
      <c r="K2" s="4" t="inlineStr">
        <is>
          <t>KatsuoShuwaDoga</t>
        </is>
      </c>
    </row>
    <row r="3" hidden="1" ht="150" customFormat="1" customHeight="1" s="6">
      <c r="A3" s="1">
        <f>ROW()-1</f>
        <v/>
      </c>
      <c r="B3" s="1" t="inlineStr">
        <is>
          <t>unknown</t>
        </is>
      </c>
      <c r="C3" s="1" t="n">
        <v>5</v>
      </c>
      <c r="D3" s="1" t="inlineStr">
        <is>
          <t>スピーチ</t>
        </is>
      </c>
      <c r="E3" s="1">
        <f>IF(D3="ストーリー", INT((COUNTIF($D$2:D3, "ストーリー")-1)/3) + 1, "NA")</f>
        <v/>
      </c>
      <c r="F3" s="1" t="inlineStr">
        <is>
          <t>◎自分のことまたは家族のことを話してください。</t>
        </is>
      </c>
      <c r="G3" s="1" t="n"/>
      <c r="H3" s="1" t="n"/>
      <c r="I3" s="1" t="n"/>
      <c r="J3" s="3" t="inlineStr">
        <is>
          <t>【Sample】
私は4人家族です。
母、父、弟、そして私です。
弟は今年中2です。サッカー部に入っています。
私はサッカーが苦手なので一緒に遊ぶことはありません。
今度、みんなで万博に行く予定です。
※家族に関する話も「指の代理表現」を用いることが多い。</t>
        </is>
      </c>
      <c r="K3" s="4" t="inlineStr">
        <is>
          <t>KatsuoShuwaDoga</t>
        </is>
      </c>
    </row>
    <row r="4" hidden="1" ht="93.75" customFormat="1" customHeight="1" s="6">
      <c r="A4" s="1">
        <f>ROW()-1</f>
        <v/>
      </c>
      <c r="B4" s="1" t="inlineStr">
        <is>
          <t>unknown</t>
        </is>
      </c>
      <c r="C4" s="1" t="n">
        <v>5</v>
      </c>
      <c r="D4" s="1" t="inlineStr">
        <is>
          <t>スピーチ</t>
        </is>
      </c>
      <c r="E4" s="1">
        <f>IF(D4="ストーリー", INT((COUNTIF($D$2:D4, "ストーリー")-1)/3) + 1, "NA")</f>
        <v/>
      </c>
      <c r="F4" s="1" t="inlineStr">
        <is>
          <t>◎自分または家族の好きなこと嫌いなこと。</t>
        </is>
      </c>
      <c r="G4" s="1" t="n"/>
      <c r="H4" s="1" t="n"/>
      <c r="I4" s="1" t="n"/>
      <c r="J4" s="3" t="inlineStr">
        <is>
          <t>【Sample】
私は家族で旅行に行くのが好きです。
去年は北海道に行きました。
ラーメンがとてもおいしくてまた行きたいです。
でも今年は東京に行きたいので提案しようか迷っています。</t>
        </is>
      </c>
      <c r="K4" s="4" t="inlineStr">
        <is>
          <t>KatsuoShuwaDoga</t>
        </is>
      </c>
    </row>
    <row r="5" hidden="1" ht="112.5" customFormat="1" customHeight="1" s="6">
      <c r="A5" s="1">
        <f>ROW()-1</f>
        <v/>
      </c>
      <c r="B5" s="1" t="inlineStr">
        <is>
          <t>unknown</t>
        </is>
      </c>
      <c r="C5" s="1" t="n">
        <v>5</v>
      </c>
      <c r="D5" s="1" t="inlineStr">
        <is>
          <t>スピーチ</t>
        </is>
      </c>
      <c r="E5" s="1">
        <f>IF(D5="ストーリー", INT((COUNTIF($D$2:D5, "ストーリー")-1)/3) + 1, "NA")</f>
        <v/>
      </c>
      <c r="F5" s="1" t="inlineStr">
        <is>
          <t>◎自分または家族の趣味について話してください。</t>
        </is>
      </c>
      <c r="G5" s="1" t="n"/>
      <c r="H5" s="1" t="n"/>
      <c r="I5" s="1" t="n"/>
      <c r="J5" s="3" t="inlineStr">
        <is>
          <t>【Sample】
私の趣味は写真を撮ることです。
大学の友達とたまに旅行に行くんです。
その時に写真撮影を担当しています。
スマートフォンで撮ることが多いですが今後は高いカメラを買ってもいいかなと思っています。</t>
        </is>
      </c>
      <c r="K5" s="4" t="inlineStr">
        <is>
          <t>KatsuoShuwaDoga</t>
        </is>
      </c>
    </row>
    <row r="6" hidden="1" ht="112.5" customFormat="1" customHeight="1" s="6">
      <c r="A6" s="1">
        <f>ROW()-1</f>
        <v/>
      </c>
      <c r="B6" s="1" t="inlineStr">
        <is>
          <t>unknown</t>
        </is>
      </c>
      <c r="C6" s="1" t="n">
        <v>5</v>
      </c>
      <c r="D6" s="1" t="inlineStr">
        <is>
          <t>スピーチ</t>
        </is>
      </c>
      <c r="E6" s="1">
        <f>IF(D6="ストーリー", INT((COUNTIF($D$2:D6, "ストーリー")-1)/3) + 1, "NA")</f>
        <v/>
      </c>
      <c r="F6" s="1" t="inlineStr">
        <is>
          <t>◎自己紹介をしてください</t>
        </is>
      </c>
      <c r="G6" s="1" t="n"/>
      <c r="H6" s="1" t="n"/>
      <c r="I6" s="1" t="n"/>
      <c r="J6" s="3" t="inlineStr">
        <is>
          <t>【Sample】
どうも。私の名前は山田です。
兵庫で生まれ育ちました。
今は引っ越して大阪で働いています。
仕事内容は教師です。
高校生たちに教えるのは大変ですが頑張っています。</t>
        </is>
      </c>
      <c r="K6" s="4" t="inlineStr">
        <is>
          <t>KatsuoShuwaDoga</t>
        </is>
      </c>
    </row>
    <row r="7" hidden="1" ht="168.75" customFormat="1" customHeight="1" s="6">
      <c r="A7" s="1">
        <f>ROW()-1</f>
        <v/>
      </c>
      <c r="B7" s="1" t="inlineStr">
        <is>
          <t>unknown</t>
        </is>
      </c>
      <c r="C7" s="1" t="n">
        <v>5</v>
      </c>
      <c r="D7" s="1" t="inlineStr">
        <is>
          <t>スピーチ</t>
        </is>
      </c>
      <c r="E7" s="1">
        <f>IF(D7="ストーリー", INT((COUNTIF($D$2:D7, "ストーリー")-1)/3) + 1, "NA")</f>
        <v/>
      </c>
      <c r="F7" s="1" t="inlineStr">
        <is>
          <t>◎あなたの好きなもの、嫌いなもの。</t>
        </is>
      </c>
      <c r="G7" s="1" t="n"/>
      <c r="H7" s="1" t="n"/>
      <c r="I7" s="1" t="n"/>
      <c r="J7" s="3" t="inlineStr">
        <is>
          <t>【Sample】
私の好きなものと嫌いものをお話します。
好きなものは漫画です。
最近はアプリで読むことができます。おすすめです。
嫌いなものは働くことです。
1日中家で寝ていたいです。
※2つのことを聞かれているときは「指の代理表現」で一文ずつくらい回答すればちょうどいいくらいかも？</t>
        </is>
      </c>
      <c r="K7" s="4" t="inlineStr">
        <is>
          <t>KatsuoShuwaDoga</t>
        </is>
      </c>
    </row>
    <row r="8" hidden="1" ht="150" customFormat="1" customHeight="1" s="6">
      <c r="A8" s="1">
        <f>ROW()-1</f>
        <v/>
      </c>
      <c r="B8" s="1" t="inlineStr">
        <is>
          <t>unknown</t>
        </is>
      </c>
      <c r="C8" s="1" t="n">
        <v>5</v>
      </c>
      <c r="D8" s="1" t="inlineStr">
        <is>
          <t>スピーチ</t>
        </is>
      </c>
      <c r="E8" s="1">
        <f>IF(D8="ストーリー", INT((COUNTIF($D$2:D8, "ストーリー")-1)/3) + 1, "NA")</f>
        <v/>
      </c>
      <c r="F8" s="1" t="inlineStr">
        <is>
          <t>◎自分のことを話してください。</t>
        </is>
      </c>
      <c r="G8" s="1" t="n"/>
      <c r="H8" s="1" t="n"/>
      <c r="I8" s="1" t="n"/>
      <c r="J8" s="3" t="inlineStr">
        <is>
          <t>【Sample】
私が手話を始めたきっかけについてお話します。
私が手話を始めたきっかけは「ドラマ」です。
5年前にテレビで「silent」というドラマを見ました。
難聴の男の人と聞こえる女の人が手話で話していて格好いいと思いました。
今は手話サークルにたまに通っています。
これからも頑張ります。</t>
        </is>
      </c>
      <c r="K8" s="4" t="inlineStr">
        <is>
          <t>KatsuoShuwaDoga</t>
        </is>
      </c>
    </row>
    <row r="9" hidden="1" ht="93.75" customFormat="1" customHeight="1" s="6">
      <c r="A9" s="1">
        <f>ROW()-1</f>
        <v/>
      </c>
      <c r="B9" s="1" t="inlineStr">
        <is>
          <t>unknown</t>
        </is>
      </c>
      <c r="C9" s="1" t="n">
        <v>4</v>
      </c>
      <c r="D9" s="1" t="inlineStr">
        <is>
          <t>スピーチ</t>
        </is>
      </c>
      <c r="E9" s="1">
        <f>IF(D9="ストーリー", INT((COUNTIF($D$2:D9, "ストーリー")-1)/3) + 1, "NA")</f>
        <v/>
      </c>
      <c r="F9" s="1" t="inlineStr">
        <is>
          <t>◎旅行の思い出を話してください。</t>
        </is>
      </c>
      <c r="G9" s="1" t="n"/>
      <c r="H9" s="1" t="n"/>
      <c r="I9" s="1" t="n"/>
      <c r="J9" s="3" t="inlineStr">
        <is>
          <t>【Sample】
先週の土曜日、京都に行きました。外国からたくさんの人が来ていました。東京には遊べる場所がたくさんありますが京都は日本の歴史が感じられて勉強にもなると思います。帰りの電車では疲れて寝てしまいました。</t>
        </is>
      </c>
      <c r="K9" s="4" t="inlineStr">
        <is>
          <t>KatsuoShuwaDoga</t>
        </is>
      </c>
    </row>
    <row r="10" hidden="1" ht="93.75" customFormat="1" customHeight="1" s="6">
      <c r="A10" s="1">
        <f>ROW()-1</f>
        <v/>
      </c>
      <c r="B10" s="1" t="inlineStr">
        <is>
          <t>unknown</t>
        </is>
      </c>
      <c r="C10" s="1" t="n">
        <v>4</v>
      </c>
      <c r="D10" s="1" t="inlineStr">
        <is>
          <t>スピーチ</t>
        </is>
      </c>
      <c r="E10" s="1">
        <f>IF(D10="ストーリー", INT((COUNTIF($D$2:D10, "ストーリー")-1)/3) + 1, "NA")</f>
        <v/>
      </c>
      <c r="F10" s="1" t="inlineStr">
        <is>
          <t>◎先週の日曜日は何をしましたか。</t>
        </is>
      </c>
      <c r="G10" s="1" t="n"/>
      <c r="H10" s="1" t="n"/>
      <c r="I10" s="1" t="n"/>
      <c r="J10" s="3" t="inlineStr">
        <is>
          <t>【Sample】
先週の日曜日は朝に公園を散歩しました。昼は家の掃除をしました。夜は映画を見たあと資格の勉強をしました。月曜日からは仕事なので仕事の準備もしました。忙しいですが自分の成長を感じます。</t>
        </is>
      </c>
      <c r="K10" s="4" t="inlineStr">
        <is>
          <t>KatsuoShuwaDoga</t>
        </is>
      </c>
    </row>
    <row r="11" hidden="1" ht="75" customFormat="1" customHeight="1" s="6">
      <c r="A11" s="1">
        <f>ROW()-1</f>
        <v/>
      </c>
      <c r="B11" s="1" t="inlineStr">
        <is>
          <t>unknown</t>
        </is>
      </c>
      <c r="C11" s="1" t="n">
        <v>4</v>
      </c>
      <c r="D11" s="1" t="inlineStr">
        <is>
          <t>スピーチ</t>
        </is>
      </c>
      <c r="E11" s="1">
        <f>IF(D11="ストーリー", INT((COUNTIF($D$2:D11, "ストーリー")-1)/3) + 1, "NA")</f>
        <v/>
      </c>
      <c r="F11" s="1" t="inlineStr">
        <is>
          <t>◎今年の思い出を話してください。</t>
        </is>
      </c>
      <c r="G11" s="1" t="n"/>
      <c r="H11" s="1" t="n"/>
      <c r="I11" s="1" t="n"/>
      <c r="J11" s="3" t="inlineStr">
        <is>
          <t>【Sample】
今年の一番の思い出は、新しい手話サークルに参加したことです。最初は緊張しましたが、皆さん優しい方ばかりです。毎月イベントがあり、学んだことを発表します。挑戦する楽しさを知りました。</t>
        </is>
      </c>
      <c r="K11" s="4" t="inlineStr">
        <is>
          <t>KatsuoShuwaDoga</t>
        </is>
      </c>
    </row>
    <row r="12" hidden="1" ht="93.75" customFormat="1" customHeight="1" s="6">
      <c r="A12" s="1">
        <f>ROW()-1</f>
        <v/>
      </c>
      <c r="B12" s="1" t="inlineStr">
        <is>
          <t>unknown</t>
        </is>
      </c>
      <c r="C12" s="1" t="n">
        <v>4</v>
      </c>
      <c r="D12" s="1" t="inlineStr">
        <is>
          <t>スピーチ</t>
        </is>
      </c>
      <c r="E12" s="1">
        <f>IF(D12="ストーリー", INT((COUNTIF($D$2:D12, "ストーリー")-1)/3) + 1, "NA")</f>
        <v/>
      </c>
      <c r="F12" s="1" t="inlineStr">
        <is>
          <t>◎年末年始の過ごし方を話してください。</t>
        </is>
      </c>
      <c r="G12" s="1" t="n"/>
      <c r="H12" s="1" t="n"/>
      <c r="I12" s="1" t="n"/>
      <c r="J12" s="3" t="inlineStr">
        <is>
          <t>【Sample】
年末は自分の部屋を掃除しました。正月は家族とおせちを食べ、神社に行きました。そのあと、目標をノートに書きました。今年は10キロ痩せることを目指しています。明日からランニングを始めます。</t>
        </is>
      </c>
      <c r="K12" s="4" t="inlineStr">
        <is>
          <t>KatsuoShuwaDoga</t>
        </is>
      </c>
    </row>
    <row r="13" hidden="1" ht="93.75" customFormat="1" customHeight="1" s="6">
      <c r="A13" s="1">
        <f>ROW()-1</f>
        <v/>
      </c>
      <c r="B13" s="1" t="inlineStr">
        <is>
          <t>unknown</t>
        </is>
      </c>
      <c r="C13" s="1" t="n">
        <v>4</v>
      </c>
      <c r="D13" s="1" t="inlineStr">
        <is>
          <t>スピーチ</t>
        </is>
      </c>
      <c r="E13" s="1">
        <f>IF(D13="ストーリー", INT((COUNTIF($D$2:D13, "ストーリー")-1)/3) + 1, "NA")</f>
        <v/>
      </c>
      <c r="F13" s="1" t="inlineStr">
        <is>
          <t>◎あなたの１日について話してください。昨日は何をしましたか?</t>
        </is>
      </c>
      <c r="G13" s="1" t="n"/>
      <c r="H13" s="1" t="n"/>
      <c r="I13" s="1" t="n"/>
      <c r="J13" s="3" t="inlineStr">
        <is>
          <t>【Sample】
昨日は七時に起きて、ランニングをしました。午前は資料作成、午後はオンライン会議がありました。夜は英語と手話を少し練習しました。英語は慣れていますが手話は始めたばかりなのでまだまだです。</t>
        </is>
      </c>
      <c r="K13" s="4" t="inlineStr">
        <is>
          <t>KatsuoShuwaDoga</t>
        </is>
      </c>
    </row>
    <row r="14" hidden="1" ht="75" customFormat="1" customHeight="1" s="6">
      <c r="A14" s="1">
        <f>ROW()-1</f>
        <v/>
      </c>
      <c r="B14" s="1" t="inlineStr">
        <is>
          <t>unknown</t>
        </is>
      </c>
      <c r="C14" s="1" t="n">
        <v>4</v>
      </c>
      <c r="D14" s="1" t="inlineStr">
        <is>
          <t>スピーチ</t>
        </is>
      </c>
      <c r="E14" s="1">
        <f>IF(D14="ストーリー", INT((COUNTIF($D$2:D14, "ストーリー")-1)/3) + 1, "NA")</f>
        <v/>
      </c>
      <c r="F14" s="1" t="inlineStr">
        <is>
          <t>◎夏の思い出について話してください。</t>
        </is>
      </c>
      <c r="G14" s="1" t="n"/>
      <c r="H14" s="1" t="n"/>
      <c r="I14" s="1" t="n"/>
      <c r="J14" s="3" t="inlineStr">
        <is>
          <t>【Sample】
夏の思い出は、友達と海に行きました。神戸の海です。泳ぐことはしませんでしたけど太陽が沈んでいくのを見ていました。日焼け止めを塗っていなかったので肌がめちゃくちゃ痛かったです。</t>
        </is>
      </c>
      <c r="K14" s="4" t="inlineStr">
        <is>
          <t>KatsuoShuwaDoga</t>
        </is>
      </c>
    </row>
    <row r="15" hidden="1" ht="93.75" customFormat="1" customHeight="1" s="6">
      <c r="A15" s="1">
        <f>ROW()-1</f>
        <v/>
      </c>
      <c r="B15" s="1" t="inlineStr">
        <is>
          <t>unknown</t>
        </is>
      </c>
      <c r="C15" s="1" t="n">
        <v>4</v>
      </c>
      <c r="D15" s="1" t="inlineStr">
        <is>
          <t>スピーチ</t>
        </is>
      </c>
      <c r="E15" s="1">
        <f>IF(D15="ストーリー", INT((COUNTIF($D$2:D15, "ストーリー")-1)/3) + 1, "NA")</f>
        <v/>
      </c>
      <c r="F15" s="1" t="inlineStr">
        <is>
          <t>◎今年、あなたが一番楽しかったことは?</t>
        </is>
      </c>
      <c r="G15" s="1" t="n"/>
      <c r="H15" s="1" t="n"/>
      <c r="I15" s="1" t="n"/>
      <c r="J15" s="3" t="inlineStr">
        <is>
          <t>【Sample】
いちばん楽しかったのは友人の結婚式に参加したことです。久しぶりに仲間と再会して、たくさん話して盛り上がりました。ろうの友達も来ていたので手話での会話もしました。手話を表すのは久しぶりでした。</t>
        </is>
      </c>
      <c r="K15" s="4" t="inlineStr">
        <is>
          <t>KatsuoShuwaDoga</t>
        </is>
      </c>
    </row>
    <row r="16" hidden="1" ht="93.75" customFormat="1" customHeight="1" s="6">
      <c r="A16" s="1">
        <f>ROW()-1</f>
        <v/>
      </c>
      <c r="B16" s="1" t="inlineStr">
        <is>
          <t>unknown</t>
        </is>
      </c>
      <c r="C16" s="1" t="n">
        <v>4</v>
      </c>
      <c r="D16" s="1" t="inlineStr">
        <is>
          <t>スピーチ</t>
        </is>
      </c>
      <c r="E16" s="1">
        <f>IF(D16="ストーリー", INT((COUNTIF($D$2:D16, "ストーリー")-1)/3) + 1, "NA")</f>
        <v/>
      </c>
      <c r="F16" s="1" t="inlineStr">
        <is>
          <t>◎１週間の出来事について話してください。</t>
        </is>
      </c>
      <c r="G16" s="1" t="n"/>
      <c r="H16" s="1" t="n"/>
      <c r="I16" s="1" t="n"/>
      <c r="J16" s="3" t="inlineStr">
        <is>
          <t>【Sample】
会議が多かったです。月曜は資料作成、火曜は発表、水曜は質疑対応をしました。木曜日はお客様の会社に行って商品説明をしました。金曜日は契約の申請をしました。めちゃくちゃ疲れたので土曜日日曜日は寝ていました。</t>
        </is>
      </c>
      <c r="K16" s="4" t="inlineStr">
        <is>
          <t>KatsuoShuwaDoga</t>
        </is>
      </c>
    </row>
    <row r="17" hidden="1" ht="93.75" customFormat="1" customHeight="1" s="6">
      <c r="A17" s="1">
        <f>ROW()-1</f>
        <v/>
      </c>
      <c r="B17" s="1" t="inlineStr">
        <is>
          <t>unknown</t>
        </is>
      </c>
      <c r="C17" s="1" t="n">
        <v>4</v>
      </c>
      <c r="D17" s="1" t="inlineStr">
        <is>
          <t>スピーチ</t>
        </is>
      </c>
      <c r="E17" s="1">
        <f>IF(D17="ストーリー", INT((COUNTIF($D$2:D17, "ストーリー")-1)/3) + 1, "NA")</f>
        <v/>
      </c>
      <c r="F17" s="1" t="inlineStr">
        <is>
          <t>◎この１年間の出来事について話してください。</t>
        </is>
      </c>
      <c r="G17" s="1" t="n"/>
      <c r="H17" s="1" t="n"/>
      <c r="I17" s="1" t="n"/>
      <c r="J17" s="3" t="inlineStr">
        <is>
          <t>【Sample】
引っ越しをして、生活が少し変わりました。通勤時間が短くなり、勉強の時間が増えました。手話講座に通い始めました。手話の表現がうまくなったと言われてうれしかったです。引っ越しは大変ですがいい変化があったなと思います。</t>
        </is>
      </c>
      <c r="K17" s="4" t="inlineStr">
        <is>
          <t>KatsuoShuwaDoga</t>
        </is>
      </c>
    </row>
    <row r="18" hidden="1" ht="93.75" customFormat="1" customHeight="1" s="6">
      <c r="A18" s="1">
        <f>ROW()-1</f>
        <v/>
      </c>
      <c r="B18" s="1" t="inlineStr">
        <is>
          <t>unknown</t>
        </is>
      </c>
      <c r="C18" s="1" t="n">
        <v>4</v>
      </c>
      <c r="D18" s="1" t="inlineStr">
        <is>
          <t>スピーチ</t>
        </is>
      </c>
      <c r="E18" s="1">
        <f>IF(D18="ストーリー", INT((COUNTIF($D$2:D18, "ストーリー")-1)/3) + 1, "NA")</f>
        <v/>
      </c>
      <c r="F18" s="1" t="inlineStr">
        <is>
          <t>◎１日の生活について話してください。</t>
        </is>
      </c>
      <c r="G18" s="1" t="n"/>
      <c r="H18" s="1" t="n"/>
      <c r="I18" s="1" t="n"/>
      <c r="J18" s="3" t="inlineStr">
        <is>
          <t>【Sample】
私の一日は、朝の散歩、昼は仕事、夜は勉強、この繰り返しです。寝る前に明日の予定を確認することが重要です。仕事が長引くこともあるので勉強しないこともあります。今はITの勉強をしています。</t>
        </is>
      </c>
      <c r="K18" s="4" t="inlineStr">
        <is>
          <t>KatsuoShuwaDoga</t>
        </is>
      </c>
    </row>
    <row r="19" hidden="1" ht="93.75" customFormat="1" customHeight="1" s="6">
      <c r="A19" s="1">
        <f>ROW()-1</f>
        <v/>
      </c>
      <c r="B19" s="1" t="inlineStr">
        <is>
          <t>unknown</t>
        </is>
      </c>
      <c r="C19" s="1" t="n">
        <v>4</v>
      </c>
      <c r="D19" s="1" t="inlineStr">
        <is>
          <t>スピーチ</t>
        </is>
      </c>
      <c r="E19" s="1">
        <f>IF(D19="ストーリー", INT((COUNTIF($D$2:D19, "ストーリー")-1)/3) + 1, "NA")</f>
        <v/>
      </c>
      <c r="F19" s="1" t="inlineStr">
        <is>
          <t>◎連休の過ごし方について話してください。正月、連休、夏休み、冬休み。</t>
        </is>
      </c>
      <c r="G19" s="1" t="n"/>
      <c r="H19" s="1" t="n"/>
      <c r="I19" s="1" t="n"/>
      <c r="J19" s="3" t="inlineStr">
        <is>
          <t>【Sample】
連休は新しい挑戦を始めることが多いです。今年はピアノに挑戦しました。私は音楽が苦手でしたが先生は優しかったため、徐々に慣れることができました。家は広くないため、ピアノを買い置くことはできませんがいつか引っ越して買いたいです。</t>
        </is>
      </c>
      <c r="K19" s="4" t="inlineStr">
        <is>
          <t>KatsuoShuwaDoga</t>
        </is>
      </c>
    </row>
    <row r="20" hidden="1" ht="93.75" customFormat="1" customHeight="1" s="6">
      <c r="A20" s="1">
        <f>ROW()-1</f>
        <v/>
      </c>
      <c r="B20" s="1" t="inlineStr">
        <is>
          <t>unknown</t>
        </is>
      </c>
      <c r="C20" s="1" t="n">
        <v>4</v>
      </c>
      <c r="D20" s="1" t="inlineStr">
        <is>
          <t>スピーチ</t>
        </is>
      </c>
      <c r="E20" s="1">
        <f>IF(D20="ストーリー", INT((COUNTIF($D$2:D20, "ストーリー")-1)/3) + 1, "NA")</f>
        <v/>
      </c>
      <c r="F20" s="1" t="inlineStr">
        <is>
          <t>◎今年の出来事を話してください。</t>
        </is>
      </c>
      <c r="G20" s="1" t="n"/>
      <c r="H20" s="1" t="n"/>
      <c r="I20" s="1" t="n"/>
      <c r="J20" s="3" t="inlineStr">
        <is>
          <t>【Sample】
今年は新しいパソコンを買いました。インターネットにつながるのが非常に速いです。私は動画で勉強することが多いので速さはとても大切です。インターネット契約も今度相談に行こうと思っています。</t>
        </is>
      </c>
      <c r="K20" s="4" t="inlineStr">
        <is>
          <t>KatsuoShuwaDoga</t>
        </is>
      </c>
    </row>
    <row r="21" hidden="1" ht="93.75" customFormat="1" customHeight="1" s="6">
      <c r="A21" s="1">
        <f>ROW()-1</f>
        <v/>
      </c>
      <c r="B21" s="1" t="inlineStr">
        <is>
          <t>unknown</t>
        </is>
      </c>
      <c r="C21" s="1" t="n">
        <v>4</v>
      </c>
      <c r="D21" s="1" t="inlineStr">
        <is>
          <t>スピーチ</t>
        </is>
      </c>
      <c r="E21" s="1">
        <f>IF(D21="ストーリー", INT((COUNTIF($D$2:D21, "ストーリー")-1)/3) + 1, "NA")</f>
        <v/>
      </c>
      <c r="F21" s="1" t="inlineStr">
        <is>
          <t>◎先週の出来事を話してください。</t>
        </is>
      </c>
      <c r="G21" s="1" t="n"/>
      <c r="H21" s="1" t="n"/>
      <c r="I21" s="1" t="n"/>
      <c r="J21" s="3" t="inlineStr">
        <is>
          <t>【Sample】
先週は友達と図書館に行きました。友達は最近フランス語の勉強を始めたらしいです。私も手話の本を借りました。タイトルは日本手話で学ぶ手話言語学の基礎。非常に難しいので昨日はそれをずっと読んでいました。</t>
        </is>
      </c>
      <c r="K21" s="4" t="inlineStr">
        <is>
          <t>KatsuoShuwaDoga</t>
        </is>
      </c>
    </row>
    <row r="22" hidden="1" ht="93.75" customFormat="1" customHeight="1" s="6">
      <c r="A22" s="1">
        <f>ROW()-1</f>
        <v/>
      </c>
      <c r="B22" s="1" t="inlineStr">
        <is>
          <t>unknown</t>
        </is>
      </c>
      <c r="C22" s="1" t="n">
        <v>3</v>
      </c>
      <c r="D22" s="1" t="inlineStr">
        <is>
          <t>スピーチ</t>
        </is>
      </c>
      <c r="E22" s="1">
        <f>IF(D22="ストーリー", INT((COUNTIF($D$2:D22, "ストーリー")-1)/3) + 1, "NA")</f>
        <v/>
      </c>
      <c r="F22" s="1" t="inlineStr">
        <is>
          <t>◎健康に気をつけていることを話してください。</t>
        </is>
      </c>
      <c r="G22" s="1" t="n"/>
      <c r="H22" s="1" t="n"/>
      <c r="I22" s="1" t="n"/>
      <c r="J22" s="3" t="inlineStr">
        <is>
          <t>【Sample】
大切にしていることは3つあります。①七時間眠る、②朝に水を飲む、③三十分歩く。私はIT企業で働いており、家と事務所の往復もありません。体を動かす機会が足りないと言われてからこれらを始めました。</t>
        </is>
      </c>
      <c r="K22" s="4" t="inlineStr">
        <is>
          <t>KatsuoShuwaDoga</t>
        </is>
      </c>
    </row>
    <row r="23" hidden="1" ht="75" customFormat="1" customHeight="1" s="6">
      <c r="A23" s="1">
        <f>ROW()-1</f>
        <v/>
      </c>
      <c r="B23" s="1" t="inlineStr">
        <is>
          <t>unknown</t>
        </is>
      </c>
      <c r="C23" s="1" t="n">
        <v>3</v>
      </c>
      <c r="D23" s="1" t="inlineStr">
        <is>
          <t>スピーチ</t>
        </is>
      </c>
      <c r="E23" s="1">
        <f>IF(D23="ストーリー", INT((COUNTIF($D$2:D23, "ストーリー")-1)/3) + 1, "NA")</f>
        <v/>
      </c>
      <c r="F23" s="1" t="inlineStr">
        <is>
          <t xml:space="preserve">◎近所づきあいや友達のつきあいについて話してください。 </t>
        </is>
      </c>
      <c r="G23" s="1" t="n"/>
      <c r="H23" s="1" t="n"/>
      <c r="I23" s="1" t="n"/>
      <c r="J23" s="3" t="inlineStr">
        <is>
          <t>【Sample】
近所の人には会ったら元気にあいさつします。ゴミ出しのルールを守ると気持ちよく暮らせます。友達とは月に一度お茶をして近況報告をします。短い時間でもつながりを感じます。</t>
        </is>
      </c>
      <c r="K23" s="4" t="inlineStr">
        <is>
          <t>KatsuoShuwaDoga</t>
        </is>
      </c>
    </row>
    <row r="24" hidden="1" ht="75" customFormat="1" customHeight="1" s="6">
      <c r="A24" s="1">
        <f>ROW()-1</f>
        <v/>
      </c>
      <c r="B24" s="1" t="inlineStr">
        <is>
          <t>unknown</t>
        </is>
      </c>
      <c r="C24" s="1" t="n">
        <v>3</v>
      </c>
      <c r="D24" s="1" t="inlineStr">
        <is>
          <t>スピーチ</t>
        </is>
      </c>
      <c r="E24" s="1">
        <f>IF(D24="ストーリー", INT((COUNTIF($D$2:D24, "ストーリー")-1)/3) + 1, "NA")</f>
        <v/>
      </c>
      <c r="F24" s="1" t="inlineStr">
        <is>
          <t>◎スポーツについて自由に話してください。</t>
        </is>
      </c>
      <c r="G24" s="1" t="n"/>
      <c r="H24" s="1" t="n"/>
      <c r="I24" s="1" t="n"/>
      <c r="J24" s="3" t="inlineStr">
        <is>
          <t>【Sample】
私は走るのが好きです。音楽を聞きながら公園をゆっくり走ります。タイムよりも、気持ちよく続けることを大切にしています。大会にもいつか出てみたいです。</t>
        </is>
      </c>
      <c r="K24" s="4" t="inlineStr">
        <is>
          <t>KatsuoShuwaDoga</t>
        </is>
      </c>
    </row>
    <row r="25" hidden="1" ht="75" customFormat="1" customHeight="1" s="6">
      <c r="A25" s="1">
        <f>ROW()-1</f>
        <v/>
      </c>
      <c r="B25" s="1" t="inlineStr">
        <is>
          <t>unknown</t>
        </is>
      </c>
      <c r="C25" s="1" t="n">
        <v>3</v>
      </c>
      <c r="D25" s="1" t="inlineStr">
        <is>
          <t>スピーチ</t>
        </is>
      </c>
      <c r="E25" s="1">
        <f>IF(D25="ストーリー", INT((COUNTIF($D$2:D25, "ストーリー")-1)/3) + 1, "NA")</f>
        <v/>
      </c>
      <c r="F25" s="1" t="inlineStr">
        <is>
          <t>◎今、頑張っていることを話してください。</t>
        </is>
      </c>
      <c r="G25" s="1" t="n"/>
      <c r="H25" s="1" t="n"/>
      <c r="I25" s="1" t="n"/>
      <c r="J25" s="3" t="inlineStr">
        <is>
          <t>【Sample】
今は英語と手話の両方をがんばっています。毎日十五分の経験を重ねることが重要だと思います。間違えても気にせず挑戦を続けることを目標にしています。</t>
        </is>
      </c>
      <c r="K25" s="4" t="inlineStr">
        <is>
          <t>KatsuoShuwaDoga</t>
        </is>
      </c>
    </row>
    <row r="26" hidden="1" ht="75" customFormat="1" customHeight="1" s="6">
      <c r="A26" s="1">
        <f>ROW()-1</f>
        <v/>
      </c>
      <c r="B26" s="1" t="inlineStr">
        <is>
          <t>unknown</t>
        </is>
      </c>
      <c r="C26" s="1" t="n">
        <v>3</v>
      </c>
      <c r="D26" s="1" t="inlineStr">
        <is>
          <t>スピーチ</t>
        </is>
      </c>
      <c r="E26" s="1">
        <f>IF(D26="ストーリー", INT((COUNTIF($D$2:D26, "ストーリー")-1)/3) + 1, "NA")</f>
        <v/>
      </c>
      <c r="F26" s="1" t="inlineStr">
        <is>
          <t>◎今までで楽しかった思い出を話してください。</t>
        </is>
      </c>
      <c r="G26" s="1" t="n"/>
      <c r="H26" s="1" t="n"/>
      <c r="I26" s="1" t="n"/>
      <c r="J26" s="3" t="inlineStr">
        <is>
          <t>【Sample】
一番楽しかった思い出は、学生時代の文化祭です。クラスで出し物を作り、夜まで準備しました。本番でお客さんが笑ってくれて、とても達成感がありました。</t>
        </is>
      </c>
      <c r="K26" s="4" t="inlineStr">
        <is>
          <t>KatsuoShuwaDoga</t>
        </is>
      </c>
    </row>
    <row r="27" hidden="1" ht="75" customFormat="1" customHeight="1" s="6">
      <c r="A27" s="1">
        <f>ROW()-1</f>
        <v/>
      </c>
      <c r="B27" s="1" t="inlineStr">
        <is>
          <t>unknown</t>
        </is>
      </c>
      <c r="C27" s="1" t="n">
        <v>3</v>
      </c>
      <c r="D27" s="1" t="inlineStr">
        <is>
          <t>スピーチ</t>
        </is>
      </c>
      <c r="E27" s="1">
        <f>IF(D27="ストーリー", INT((COUNTIF($D$2:D27, "ストーリー")-1)/3) + 1, "NA")</f>
        <v/>
      </c>
      <c r="F27" s="1" t="inlineStr">
        <is>
          <t>◎一番うれしかった思い出を話してください。</t>
        </is>
      </c>
      <c r="G27" s="1" t="n"/>
      <c r="H27" s="1" t="n"/>
      <c r="I27" s="1" t="n"/>
      <c r="J27" s="3" t="inlineStr">
        <is>
          <t>【Sample】
仕事で感謝のメッセージカードをもらったことがあります。小さなサポートでしたが、「助かった」と言われて嬉しかったです。今度もいろいろな人を応援したいです。</t>
        </is>
      </c>
      <c r="K27" s="4" t="inlineStr">
        <is>
          <t>KatsuoShuwaDoga</t>
        </is>
      </c>
    </row>
    <row r="28" hidden="1" ht="75" customFormat="1" customHeight="1" s="6">
      <c r="A28" s="1">
        <f>ROW()-1</f>
        <v/>
      </c>
      <c r="B28" s="1" t="inlineStr">
        <is>
          <t>unknown</t>
        </is>
      </c>
      <c r="C28" s="1" t="n">
        <v>3</v>
      </c>
      <c r="D28" s="1" t="inlineStr">
        <is>
          <t>スピーチ</t>
        </is>
      </c>
      <c r="E28" s="1">
        <f>IF(D28="ストーリー", INT((COUNTIF($D$2:D28, "ストーリー")-1)/3) + 1, "NA")</f>
        <v/>
      </c>
      <c r="F28" s="1" t="inlineStr">
        <is>
          <t>◎あなたが健康に気をつけていること。</t>
        </is>
      </c>
      <c r="G28" s="1" t="n"/>
      <c r="H28" s="1" t="n"/>
      <c r="I28" s="1" t="n"/>
      <c r="J28" s="3" t="inlineStr">
        <is>
          <t>【Sample】
食事では色を意識します。赤・緑・黄をそろえると栄養が偏りにくいです。甘い物は週末に少しだけ。水筒を持ち歩き、こまめに水分補給をします。</t>
        </is>
      </c>
      <c r="K28" s="4" t="inlineStr">
        <is>
          <t>KatsuoShuwaDoga</t>
        </is>
      </c>
    </row>
    <row r="29" hidden="1" ht="75" customFormat="1" customHeight="1" s="6">
      <c r="A29" s="1">
        <f>ROW()-1</f>
        <v/>
      </c>
      <c r="B29" s="1" t="inlineStr">
        <is>
          <t>unknown</t>
        </is>
      </c>
      <c r="C29" s="1" t="n">
        <v>3</v>
      </c>
      <c r="D29" s="1" t="inlineStr">
        <is>
          <t>スピーチ</t>
        </is>
      </c>
      <c r="E29" s="1">
        <f>IF(D29="ストーリー", INT((COUNTIF($D$2:D29, "ストーリー")-1)/3) + 1, "NA")</f>
        <v/>
      </c>
      <c r="F29" s="1" t="inlineStr">
        <is>
          <t>◎先月のこと、去年のこと、家族旅行のことについて</t>
        </is>
      </c>
      <c r="G29" s="1" t="n"/>
      <c r="H29" s="1" t="n"/>
      <c r="I29" s="1" t="n"/>
      <c r="J29" s="3" t="inlineStr">
        <is>
          <t>【Sample】
先月は郊外でキャンプをしました。夜の星がきれいでした。去年は家族で北海道へ行き、広い景色とおいしい海鮮を楽しみました。家族写真は今でも宝物です。</t>
        </is>
      </c>
      <c r="K29" s="4" t="inlineStr">
        <is>
          <t>KatsuoShuwaDoga</t>
        </is>
      </c>
    </row>
    <row r="30" hidden="1" ht="75" customFormat="1" customHeight="1" s="6">
      <c r="A30" s="1">
        <f>ROW()-1</f>
        <v/>
      </c>
      <c r="B30" s="1" t="inlineStr">
        <is>
          <t>unknown</t>
        </is>
      </c>
      <c r="C30" s="1" t="n">
        <v>3</v>
      </c>
      <c r="D30" s="1" t="inlineStr">
        <is>
          <t>スピーチ</t>
        </is>
      </c>
      <c r="E30" s="1">
        <f>IF(D30="ストーリー", INT((COUNTIF($D$2:D30, "ストーリー")-1)/3) + 1, "NA")</f>
        <v/>
      </c>
      <c r="F30" s="1" t="inlineStr">
        <is>
          <t>◎日常生活について。</t>
        </is>
      </c>
      <c r="G30" s="1" t="n"/>
      <c r="H30" s="1" t="n"/>
      <c r="I30" s="1" t="n"/>
      <c r="J30" s="3" t="inlineStr">
        <is>
          <t>【Sample】
平日は仕事中心、夜は学習とストレッチ。休日は家事と散歩、たまに美術館に行きます。忙しい日も、温かいお茶で一息つく時間を作ります。</t>
        </is>
      </c>
      <c r="K30" s="4" t="inlineStr">
        <is>
          <t>KatsuoShuwaDoga</t>
        </is>
      </c>
    </row>
    <row r="31" hidden="1" ht="75" customFormat="1" customHeight="1" s="6">
      <c r="A31" s="1">
        <f>ROW()-1</f>
        <v/>
      </c>
      <c r="B31" s="1" t="inlineStr">
        <is>
          <t>unknown</t>
        </is>
      </c>
      <c r="C31" s="1" t="n">
        <v>3</v>
      </c>
      <c r="D31" s="1" t="inlineStr">
        <is>
          <t>スピーチ</t>
        </is>
      </c>
      <c r="E31" s="1">
        <f>IF(D31="ストーリー", INT((COUNTIF($D$2:D31, "ストーリー")-1)/3) + 1, "NA")</f>
        <v/>
      </c>
      <c r="F31" s="1" t="inlineStr">
        <is>
          <t>◎地域の行事について: 子ども会</t>
        </is>
      </c>
      <c r="G31" s="1" t="n"/>
      <c r="H31" s="1" t="n"/>
      <c r="I31" s="1" t="n"/>
      <c r="J31" s="3" t="inlineStr">
        <is>
          <t>【Sample】
子ども会の夏の工作教室を手伝いました。説明はゆっくり、簡単な言葉で話しました。できあがった作品を見て、子どもたちが誇らしそうでうれしかったです。</t>
        </is>
      </c>
      <c r="K31" s="4" t="inlineStr">
        <is>
          <t>KatsuoShuwaDoga</t>
        </is>
      </c>
    </row>
    <row r="32" hidden="1" ht="75" customFormat="1" customHeight="1" s="6">
      <c r="A32" s="1">
        <f>ROW()-1</f>
        <v/>
      </c>
      <c r="B32" s="1" t="inlineStr">
        <is>
          <t>unknown</t>
        </is>
      </c>
      <c r="C32" s="1" t="n">
        <v>3</v>
      </c>
      <c r="D32" s="1" t="inlineStr">
        <is>
          <t>スピーチ</t>
        </is>
      </c>
      <c r="E32" s="1">
        <f>IF(D32="ストーリー", INT((COUNTIF($D$2:D32, "ストーリー")-1)/3) + 1, "NA")</f>
        <v/>
      </c>
      <c r="F32" s="1" t="inlineStr">
        <is>
          <t>◎地域の行事について: 町内会</t>
        </is>
      </c>
      <c r="G32" s="1" t="n"/>
      <c r="H32" s="1" t="n"/>
      <c r="I32" s="1" t="n"/>
      <c r="J32" s="3" t="inlineStr">
        <is>
          <t>【Sample】
町内会の清掃日に参加しました。公園の落ち葉を集め、花に水をあげました。終わったあとは皆でお茶を飲んで情報交換をしました。暮らしやすい町は自分たちで作ると感じました。</t>
        </is>
      </c>
      <c r="K32" s="4" t="inlineStr">
        <is>
          <t>KatsuoShuwaDoga</t>
        </is>
      </c>
    </row>
    <row r="33" hidden="1" ht="75" customFormat="1" customHeight="1" s="6">
      <c r="A33" s="1">
        <f>ROW()-1</f>
        <v/>
      </c>
      <c r="B33" s="1" t="inlineStr">
        <is>
          <t>unknown</t>
        </is>
      </c>
      <c r="C33" s="1" t="n">
        <v>3</v>
      </c>
      <c r="D33" s="1" t="inlineStr">
        <is>
          <t>スピーチ</t>
        </is>
      </c>
      <c r="E33" s="1">
        <f>IF(D33="ストーリー", INT((COUNTIF($D$2:D33, "ストーリー")-1)/3) + 1, "NA")</f>
        <v/>
      </c>
      <c r="F33" s="1" t="inlineStr">
        <is>
          <t>◎地域の行事について: 夏まつり</t>
        </is>
      </c>
      <c r="G33" s="1" t="n"/>
      <c r="H33" s="1" t="n"/>
      <c r="I33" s="1" t="n"/>
      <c r="J33" s="3" t="inlineStr">
        <is>
          <t>【Sample】
夏まつりでは屋台の手伝いをしました。太鼓の音が響き、子どもも大人も笑顔でした。浴衣の人が多く、写真をたくさん撮りました。夏の思い出が増えました。</t>
        </is>
      </c>
      <c r="K33" s="4" t="inlineStr">
        <is>
          <t>KatsuoShuwaDoga</t>
        </is>
      </c>
    </row>
    <row r="34" hidden="1" ht="75" customFormat="1" customHeight="1" s="6">
      <c r="A34" s="1">
        <f>ROW()-1</f>
        <v/>
      </c>
      <c r="B34" s="1" t="inlineStr">
        <is>
          <t>unknown</t>
        </is>
      </c>
      <c r="C34" s="1" t="n">
        <v>3</v>
      </c>
      <c r="D34" s="1" t="inlineStr">
        <is>
          <t>スピーチ</t>
        </is>
      </c>
      <c r="E34" s="1">
        <f>IF(D34="ストーリー", INT((COUNTIF($D$2:D34, "ストーリー")-1)/3) + 1, "NA")</f>
        <v/>
      </c>
      <c r="F34" s="1" t="inlineStr">
        <is>
          <t>◎学生時代の思い出を話してください。</t>
        </is>
      </c>
      <c r="G34" s="1" t="n"/>
      <c r="H34" s="1" t="n"/>
      <c r="I34" s="1" t="n"/>
      <c r="J34" s="3" t="inlineStr">
        <is>
          <t>【Sample】
学生時代は放送部に入り、校内アナウンスを担当しました。最初は緊張しましたが、声で場を支える楽しさを知りました。その経験が今の発表にも役立っています。</t>
        </is>
      </c>
      <c r="K34" s="4" t="inlineStr">
        <is>
          <t>KatsuoShuwaDoga</t>
        </is>
      </c>
    </row>
    <row r="35" hidden="1" ht="75" customFormat="1" customHeight="1" s="6">
      <c r="A35" s="1">
        <f>ROW()-1</f>
        <v/>
      </c>
      <c r="B35" s="1" t="inlineStr">
        <is>
          <t>unknown</t>
        </is>
      </c>
      <c r="C35" s="1" t="n">
        <v>3</v>
      </c>
      <c r="D35" s="1" t="inlineStr">
        <is>
          <t>スピーチ</t>
        </is>
      </c>
      <c r="E35" s="1">
        <f>IF(D35="ストーリー", INT((COUNTIF($D$2:D35, "ストーリー")-1)/3) + 1, "NA")</f>
        <v/>
      </c>
      <c r="F35" s="1" t="inlineStr">
        <is>
          <t>◎地域の行事について: 運動会</t>
        </is>
      </c>
      <c r="G35" s="1" t="n"/>
      <c r="H35" s="1" t="n"/>
      <c r="I35" s="1" t="n"/>
      <c r="J35" s="3" t="inlineStr">
        <is>
          <t>【Sample】
地区の運動会でリレーに出ました。チームで声をかけ合い、バトンをつなぎました。結果は二位でしたが、みんなで力を出し切って満足でした。</t>
        </is>
      </c>
      <c r="K35" s="4" t="inlineStr">
        <is>
          <t>KatsuoShuwaDoga</t>
        </is>
      </c>
    </row>
    <row r="36" hidden="1" ht="75" customFormat="1" customHeight="1" s="6">
      <c r="A36" s="1">
        <f>ROW()-1</f>
        <v/>
      </c>
      <c r="B36" s="1" t="inlineStr">
        <is>
          <t>unknown</t>
        </is>
      </c>
      <c r="C36" s="1" t="n">
        <v>3</v>
      </c>
      <c r="D36" s="1" t="inlineStr">
        <is>
          <t>スピーチ</t>
        </is>
      </c>
      <c r="E36" s="1">
        <f>IF(D36="ストーリー", INT((COUNTIF($D$2:D36, "ストーリー")-1)/3) + 1, "NA")</f>
        <v/>
      </c>
      <c r="F36" s="1" t="inlineStr">
        <is>
          <t>◎夏バテや熱中症を防ぐためにどんなことに気を付けましたか。</t>
        </is>
      </c>
      <c r="G36" s="1" t="n"/>
      <c r="H36" s="1" t="n"/>
      <c r="I36" s="1" t="n"/>
      <c r="J36" s="3" t="inlineStr">
        <is>
          <t>【Sample】
朝の涼しい時間に運動し、昼は無理をしません。水と塩分をこまめに補給します。外では帽子と日陰を活用し、室内ではエアコンと扇風機で温度管理をします。睡眠をしっかり取りました。</t>
        </is>
      </c>
      <c r="K36" s="4" t="inlineStr">
        <is>
          <t>KatsuoShuwaDoga</t>
        </is>
      </c>
    </row>
    <row r="37" hidden="1" ht="75" customFormat="1" customHeight="1" s="6">
      <c r="A37" s="1">
        <f>ROW()-1</f>
        <v/>
      </c>
      <c r="B37" s="1" t="inlineStr">
        <is>
          <t>unknown</t>
        </is>
      </c>
      <c r="C37" s="1" t="n">
        <v>3</v>
      </c>
      <c r="D37" s="1" t="inlineStr">
        <is>
          <t>スピーチ</t>
        </is>
      </c>
      <c r="E37" s="1">
        <f>IF(D37="ストーリー", INT((COUNTIF($D$2:D37, "ストーリー")-1)/3) + 1, "NA")</f>
        <v/>
      </c>
      <c r="F37" s="1" t="inlineStr">
        <is>
          <t>◎あなたの将来の夢について。</t>
        </is>
      </c>
      <c r="G37" s="1" t="n"/>
      <c r="H37" s="1" t="n"/>
      <c r="I37" s="1" t="n"/>
      <c r="J37" s="3" t="inlineStr">
        <is>
          <t>【Sample】
将来の夢は、人と人をつなぐ通訳・調整役になることです。言葉や文化が違っても、安心して話せる場を作りたいです。そのために学びを続け、信頼される人になります。</t>
        </is>
      </c>
      <c r="K37" s="4" t="inlineStr">
        <is>
          <t>KatsuoShuwaDoga</t>
        </is>
      </c>
    </row>
    <row r="38" hidden="1" ht="18.75" customHeight="1">
      <c r="A38" s="1">
        <f>ROW()-1</f>
        <v/>
      </c>
      <c r="B38" s="1" t="inlineStr">
        <is>
          <t>unknown</t>
        </is>
      </c>
      <c r="C38" s="1" t="n">
        <v>2</v>
      </c>
      <c r="D38" s="1" t="inlineStr">
        <is>
          <t>スピーチ</t>
        </is>
      </c>
      <c r="E38" s="1">
        <f>IF(D38="ストーリー", INT((COUNTIF($D$2:D38, "ストーリー")-1)/3) + 1, "NA")</f>
        <v/>
      </c>
      <c r="F38" s="1" t="inlineStr">
        <is>
          <t xml:space="preserve">◎手話を学び始めたきっかけとこれからの活動について話をしてください。　</t>
        </is>
      </c>
      <c r="G38" s="1" t="n"/>
      <c r="H38" s="1" t="n"/>
      <c r="I38" s="1" t="n"/>
      <c r="J38" s="1" t="n"/>
      <c r="K38" s="4" t="inlineStr">
        <is>
          <t>KatsuoShuwaDoga</t>
        </is>
      </c>
    </row>
    <row r="39" hidden="1" ht="18.75" customHeight="1">
      <c r="A39" s="1">
        <f>ROW()-1</f>
        <v/>
      </c>
      <c r="B39" s="1" t="inlineStr">
        <is>
          <t>unknown</t>
        </is>
      </c>
      <c r="C39" s="1" t="n">
        <v>2</v>
      </c>
      <c r="D39" s="1" t="inlineStr">
        <is>
          <t>スピーチ</t>
        </is>
      </c>
      <c r="E39" s="1">
        <f>IF(D39="ストーリー", INT((COUNTIF($D$2:D39, "ストーリー")-1)/3) + 1, "NA")</f>
        <v/>
      </c>
      <c r="F39" s="1" t="inlineStr">
        <is>
          <t>◎手話を学んで難しい、たいへんだと思ったことは何ですか。</t>
        </is>
      </c>
      <c r="G39" s="1" t="n"/>
      <c r="H39" s="1" t="n"/>
      <c r="I39" s="1" t="n"/>
      <c r="J39" s="1" t="n"/>
      <c r="K39" s="4" t="inlineStr">
        <is>
          <t>KatsuoShuwaDoga</t>
        </is>
      </c>
    </row>
    <row r="40" hidden="1" ht="18.75" customHeight="1">
      <c r="A40" s="1">
        <f>ROW()-1</f>
        <v/>
      </c>
      <c r="B40" s="1" t="inlineStr">
        <is>
          <t>unknown</t>
        </is>
      </c>
      <c r="C40" s="1" t="n">
        <v>2</v>
      </c>
      <c r="D40" s="1" t="inlineStr">
        <is>
          <t>スピーチ</t>
        </is>
      </c>
      <c r="E40" s="1">
        <f>IF(D40="ストーリー", INT((COUNTIF($D$2:D40, "ストーリー")-1)/3) + 1, "NA")</f>
        <v/>
      </c>
      <c r="F40" s="1" t="inlineStr">
        <is>
          <t>◎あなたの仕事（学校）について自由に話してください。</t>
        </is>
      </c>
      <c r="G40" s="1" t="n"/>
      <c r="H40" s="1" t="n"/>
      <c r="I40" s="1" t="n"/>
      <c r="J40" s="1" t="n"/>
      <c r="K40" s="4" t="inlineStr">
        <is>
          <t>KatsuoShuwaDoga</t>
        </is>
      </c>
    </row>
    <row r="41" hidden="1" ht="18.75" customHeight="1">
      <c r="A41" s="1">
        <f>ROW()-1</f>
        <v/>
      </c>
      <c r="B41" s="1" t="inlineStr">
        <is>
          <t>unknown</t>
        </is>
      </c>
      <c r="C41" s="1" t="n">
        <v>2</v>
      </c>
      <c r="D41" s="1" t="inlineStr">
        <is>
          <t>スピーチ</t>
        </is>
      </c>
      <c r="E41" s="1">
        <f>IF(D41="ストーリー", INT((COUNTIF($D$2:D41, "ストーリー")-1)/3) + 1, "NA")</f>
        <v/>
      </c>
      <c r="F41" s="1" t="inlineStr">
        <is>
          <t>◎あなたの関心のあること。</t>
        </is>
      </c>
      <c r="G41" s="1" t="n"/>
      <c r="H41" s="1" t="n"/>
      <c r="I41" s="1" t="n"/>
      <c r="J41" s="1" t="n"/>
      <c r="K41" s="4" t="inlineStr">
        <is>
          <t>KatsuoShuwaDoga</t>
        </is>
      </c>
    </row>
    <row r="42" hidden="1" ht="18.75" customHeight="1">
      <c r="A42" s="1">
        <f>ROW()-1</f>
        <v/>
      </c>
      <c r="B42" s="1" t="inlineStr">
        <is>
          <t>unknown</t>
        </is>
      </c>
      <c r="C42" s="1" t="n">
        <v>2</v>
      </c>
      <c r="D42" s="1" t="inlineStr">
        <is>
          <t>スピーチ</t>
        </is>
      </c>
      <c r="E42" s="1">
        <f>IF(D42="ストーリー", INT((COUNTIF($D$2:D42, "ストーリー")-1)/3) + 1, "NA")</f>
        <v/>
      </c>
      <c r="F42" s="1" t="inlineStr">
        <is>
          <t>◎長い休みが取れたらどんなことをしたいかを話してください。</t>
        </is>
      </c>
      <c r="G42" s="1" t="n"/>
      <c r="H42" s="1" t="n"/>
      <c r="I42" s="1" t="n"/>
      <c r="J42" s="1" t="n"/>
      <c r="K42" s="4" t="inlineStr">
        <is>
          <t>KatsuoShuwaDoga</t>
        </is>
      </c>
    </row>
    <row r="43" hidden="1" ht="18.75" customHeight="1">
      <c r="A43" s="1">
        <f>ROW()-1</f>
        <v/>
      </c>
      <c r="B43" s="1" t="inlineStr">
        <is>
          <t>unknown</t>
        </is>
      </c>
      <c r="C43" s="1" t="n">
        <v>2</v>
      </c>
      <c r="D43" s="1" t="inlineStr">
        <is>
          <t>スピーチ</t>
        </is>
      </c>
      <c r="E43" s="1">
        <f>IF(D43="ストーリー", INT((COUNTIF($D$2:D43, "ストーリー")-1)/3) + 1, "NA")</f>
        <v/>
      </c>
      <c r="F43" s="1" t="inlineStr">
        <is>
          <t>◎手話の学習を始めたきっかけと学習方法について話してください</t>
        </is>
      </c>
      <c r="G43" s="1" t="n"/>
      <c r="H43" s="1" t="n"/>
      <c r="I43" s="1" t="n"/>
      <c r="J43" s="1" t="n"/>
      <c r="K43" s="4" t="inlineStr">
        <is>
          <t>KatsuoShuwaDoga</t>
        </is>
      </c>
    </row>
    <row r="44" hidden="1" ht="18.75" customHeight="1">
      <c r="A44" s="1">
        <f>ROW()-1</f>
        <v/>
      </c>
      <c r="B44" s="1" t="inlineStr">
        <is>
          <t>unknown</t>
        </is>
      </c>
      <c r="C44" s="1" t="n">
        <v>2</v>
      </c>
      <c r="D44" s="1" t="inlineStr">
        <is>
          <t>スピーチ</t>
        </is>
      </c>
      <c r="E44" s="1">
        <f>IF(D44="ストーリー", INT((COUNTIF($D$2:D44, "ストーリー")-1)/3) + 1, "NA")</f>
        <v/>
      </c>
      <c r="F44" s="1" t="inlineStr">
        <is>
          <t>◎あなたの特技、趣味を生かした活動。</t>
        </is>
      </c>
      <c r="G44" s="1" t="n"/>
      <c r="H44" s="1" t="n"/>
      <c r="I44" s="1" t="n"/>
      <c r="J44" s="1" t="n"/>
      <c r="K44" s="4" t="inlineStr">
        <is>
          <t>KatsuoShuwaDoga</t>
        </is>
      </c>
    </row>
    <row r="45" hidden="1" ht="18.75" customHeight="1">
      <c r="A45" s="1">
        <f>ROW()-1</f>
        <v/>
      </c>
      <c r="B45" s="1" t="inlineStr">
        <is>
          <t>unknown</t>
        </is>
      </c>
      <c r="C45" s="1" t="n">
        <v>2</v>
      </c>
      <c r="D45" s="1" t="inlineStr">
        <is>
          <t>スピーチ</t>
        </is>
      </c>
      <c r="E45" s="1">
        <f>IF(D45="ストーリー", INT((COUNTIF($D$2:D45, "ストーリー")-1)/3) + 1, "NA")</f>
        <v/>
      </c>
      <c r="F45" s="1" t="inlineStr">
        <is>
          <t>◎ストレス解消方法について。</t>
        </is>
      </c>
      <c r="G45" s="1" t="n"/>
      <c r="H45" s="1" t="n"/>
      <c r="I45" s="1" t="n"/>
      <c r="J45" s="1" t="n"/>
      <c r="K45" s="4" t="inlineStr">
        <is>
          <t>KatsuoShuwaDoga</t>
        </is>
      </c>
    </row>
    <row r="46" hidden="1" ht="18.75" customHeight="1">
      <c r="A46" s="1">
        <f>ROW()-1</f>
        <v/>
      </c>
      <c r="B46" s="1" t="inlineStr">
        <is>
          <t>unknown</t>
        </is>
      </c>
      <c r="C46" s="1" t="n">
        <v>2</v>
      </c>
      <c r="D46" s="1" t="inlineStr">
        <is>
          <t>スピーチ</t>
        </is>
      </c>
      <c r="E46" s="1">
        <f>IF(D46="ストーリー", INT((COUNTIF($D$2:D46, "ストーリー")-1)/3) + 1, "NA")</f>
        <v/>
      </c>
      <c r="F46" s="1" t="inlineStr">
        <is>
          <t>◎手話を学ぶようになったきっかけについて。</t>
        </is>
      </c>
      <c r="G46" s="1" t="n"/>
      <c r="H46" s="1" t="n"/>
      <c r="I46" s="1" t="n"/>
      <c r="J46" s="1" t="n"/>
      <c r="K46" s="4" t="inlineStr">
        <is>
          <t>KatsuoShuwaDoga</t>
        </is>
      </c>
    </row>
    <row r="47" hidden="1" ht="18.75" customHeight="1">
      <c r="A47" s="1">
        <f>ROW()-1</f>
        <v/>
      </c>
      <c r="B47" s="1" t="inlineStr">
        <is>
          <t>unknown</t>
        </is>
      </c>
      <c r="C47" s="1" t="n">
        <v>2</v>
      </c>
      <c r="D47" s="1" t="inlineStr">
        <is>
          <t>スピーチ</t>
        </is>
      </c>
      <c r="E47" s="1">
        <f>IF(D47="ストーリー", INT((COUNTIF($D$2:D47, "ストーリー")-1)/3) + 1, "NA")</f>
        <v/>
      </c>
      <c r="F47" s="1" t="inlineStr">
        <is>
          <t>◎手話を学んでよかったと思うこと。</t>
        </is>
      </c>
      <c r="G47" s="1" t="n"/>
      <c r="H47" s="1" t="n"/>
      <c r="I47" s="1" t="n"/>
      <c r="J47" s="1" t="n"/>
      <c r="K47" s="4" t="inlineStr">
        <is>
          <t>KatsuoShuwaDoga</t>
        </is>
      </c>
    </row>
    <row r="48" hidden="1" ht="18.75" customHeight="1">
      <c r="A48" s="1">
        <f>ROW()-1</f>
        <v/>
      </c>
      <c r="B48" s="1" t="inlineStr">
        <is>
          <t>unknown</t>
        </is>
      </c>
      <c r="C48" s="1" t="n">
        <v>2</v>
      </c>
      <c r="D48" s="1" t="inlineStr">
        <is>
          <t>スピーチ</t>
        </is>
      </c>
      <c r="E48" s="1">
        <f>IF(D48="ストーリー", INT((COUNTIF($D$2:D48, "ストーリー")-1)/3) + 1, "NA")</f>
        <v/>
      </c>
      <c r="F48" s="1" t="inlineStr">
        <is>
          <t>◎健康のために何をしていますか。</t>
        </is>
      </c>
      <c r="G48" s="1" t="n"/>
      <c r="H48" s="1" t="n"/>
      <c r="I48" s="1" t="n"/>
      <c r="J48" s="1" t="n"/>
      <c r="K48" s="4" t="inlineStr">
        <is>
          <t>KatsuoShuwaDoga</t>
        </is>
      </c>
    </row>
    <row r="49" hidden="1" ht="18.75" customHeight="1">
      <c r="A49" s="1">
        <f>ROW()-1</f>
        <v/>
      </c>
      <c r="B49" s="1" t="inlineStr">
        <is>
          <t>unknown</t>
        </is>
      </c>
      <c r="C49" s="1" t="n">
        <v>2</v>
      </c>
      <c r="D49" s="1" t="inlineStr">
        <is>
          <t>スピーチ</t>
        </is>
      </c>
      <c r="E49" s="1">
        <f>IF(D49="ストーリー", INT((COUNTIF($D$2:D49, "ストーリー")-1)/3) + 1, "NA")</f>
        <v/>
      </c>
      <c r="F49" s="1" t="inlineStr">
        <is>
          <t>◎あなたはどのような地域活動、同好会、ボランティア、町内会をされてますか。活動内容や活動を通じて感じたこと。</t>
        </is>
      </c>
      <c r="G49" s="1" t="n"/>
      <c r="H49" s="1" t="n"/>
      <c r="I49" s="1" t="n"/>
      <c r="J49" s="1" t="n"/>
      <c r="K49" s="4" t="inlineStr">
        <is>
          <t>KatsuoShuwaDoga</t>
        </is>
      </c>
    </row>
    <row r="50" hidden="1" ht="18.75" customHeight="1">
      <c r="A50" s="1">
        <f>ROW()-1</f>
        <v/>
      </c>
      <c r="B50" s="1" t="inlineStr">
        <is>
          <t>unknown</t>
        </is>
      </c>
      <c r="C50" s="1" t="n">
        <v>2</v>
      </c>
      <c r="D50" s="1" t="inlineStr">
        <is>
          <t>スピーチ</t>
        </is>
      </c>
      <c r="E50" s="1">
        <f>IF(D50="ストーリー", INT((COUNTIF($D$2:D50, "ストーリー")-1)/3) + 1, "NA")</f>
        <v/>
      </c>
      <c r="F50" s="1" t="inlineStr">
        <is>
          <t>◎思い出に残る旅行、またはこれからしてみたい旅行。</t>
        </is>
      </c>
      <c r="G50" s="1" t="n"/>
      <c r="H50" s="1" t="n"/>
      <c r="I50" s="1" t="n"/>
      <c r="J50" s="1" t="n"/>
      <c r="K50" s="4" t="inlineStr">
        <is>
          <t>KatsuoShuwaDoga</t>
        </is>
      </c>
    </row>
    <row r="51" hidden="1" ht="18.75" customHeight="1">
      <c r="A51" s="1">
        <f>ROW()-1</f>
        <v/>
      </c>
      <c r="B51" s="1" t="inlineStr">
        <is>
          <t>unknown</t>
        </is>
      </c>
      <c r="C51" s="1" t="n">
        <v>2</v>
      </c>
      <c r="D51" s="1" t="inlineStr">
        <is>
          <t>スピーチ</t>
        </is>
      </c>
      <c r="E51" s="1">
        <f>IF(D51="ストーリー", INT((COUNTIF($D$2:D51, "ストーリー")-1)/3) + 1, "NA")</f>
        <v/>
      </c>
      <c r="F51" s="1" t="inlineStr">
        <is>
          <t>◎手話を学ぶようになったきっかけ。</t>
        </is>
      </c>
      <c r="G51" s="1" t="n"/>
      <c r="H51" s="1" t="n"/>
      <c r="I51" s="1" t="n"/>
      <c r="J51" s="1" t="n"/>
      <c r="K51" s="4" t="inlineStr">
        <is>
          <t>KatsuoShuwaDoga</t>
        </is>
      </c>
    </row>
    <row r="52" hidden="1" ht="18.75" customFormat="1" customHeight="1" s="6">
      <c r="A52" s="1">
        <f>ROW()-1</f>
        <v/>
      </c>
      <c r="B52" s="1" t="inlineStr">
        <is>
          <t>unknown</t>
        </is>
      </c>
      <c r="C52" s="1" t="inlineStr">
        <is>
          <t>準1</t>
        </is>
      </c>
      <c r="D52" s="1" t="inlineStr">
        <is>
          <t>スピーチ</t>
        </is>
      </c>
      <c r="E52" s="1">
        <f>IF(D52="ストーリー", INT((COUNTIF($D$2:D52, "ストーリー")-1)/3) + 1, "NA")</f>
        <v/>
      </c>
      <c r="F52" s="1" t="inlineStr">
        <is>
          <t>◎コロナ渦が収束したら、あなたはどんなことをしたいですか。また、どんな活動をしたいですか。</t>
        </is>
      </c>
      <c r="G52" s="1" t="n"/>
      <c r="H52" s="1" t="n"/>
      <c r="I52" s="1" t="n"/>
      <c r="J52" s="4" t="n"/>
      <c r="K52" s="4" t="inlineStr">
        <is>
          <t>KatsuoShuwaDoga</t>
        </is>
      </c>
    </row>
    <row r="53" hidden="1" ht="18.75" customFormat="1" customHeight="1" s="6">
      <c r="A53" s="1">
        <f>ROW()-1</f>
        <v/>
      </c>
      <c r="B53" s="1" t="inlineStr">
        <is>
          <t>unknown</t>
        </is>
      </c>
      <c r="C53" s="1" t="inlineStr">
        <is>
          <t>準1</t>
        </is>
      </c>
      <c r="D53" s="1" t="inlineStr">
        <is>
          <t>スピーチ</t>
        </is>
      </c>
      <c r="E53" s="1">
        <f>IF(D53="ストーリー", INT((COUNTIF($D$2:D53, "ストーリー")-1)/3) + 1, "NA")</f>
        <v/>
      </c>
      <c r="F53" s="1" t="inlineStr">
        <is>
          <t>◎新型コロナウイルスで外出自粛の際、どのように過ごしていましたか。</t>
        </is>
      </c>
      <c r="G53" s="1" t="n"/>
      <c r="H53" s="1" t="n"/>
      <c r="I53" s="1" t="n"/>
      <c r="J53" s="4" t="n"/>
      <c r="K53" s="4" t="inlineStr">
        <is>
          <t>KatsuoShuwaDoga</t>
        </is>
      </c>
    </row>
    <row r="54" hidden="1" ht="18.75" customFormat="1" customHeight="1" s="6">
      <c r="A54" s="1">
        <f>ROW()-1</f>
        <v/>
      </c>
      <c r="B54" s="1" t="inlineStr">
        <is>
          <t>unknown</t>
        </is>
      </c>
      <c r="C54" s="1" t="inlineStr">
        <is>
          <t>準1</t>
        </is>
      </c>
      <c r="D54" s="1" t="inlineStr">
        <is>
          <t>スピーチ</t>
        </is>
      </c>
      <c r="E54" s="1">
        <f>IF(D54="ストーリー", INT((COUNTIF($D$2:D54, "ストーリー")-1)/3) + 1, "NA")</f>
        <v/>
      </c>
      <c r="F54" s="1" t="inlineStr">
        <is>
          <t>◎最近の交通事故、交通安全についてどう思いますか。</t>
        </is>
      </c>
      <c r="G54" s="1" t="n"/>
      <c r="H54" s="1" t="n"/>
      <c r="I54" s="1" t="n"/>
      <c r="J54" s="4" t="n"/>
      <c r="K54" s="4" t="inlineStr">
        <is>
          <t>KatsuoShuwaDoga</t>
        </is>
      </c>
    </row>
    <row r="55" hidden="1" ht="18.75" customFormat="1" customHeight="1" s="6">
      <c r="A55" s="1">
        <f>ROW()-1</f>
        <v/>
      </c>
      <c r="B55" s="1" t="inlineStr">
        <is>
          <t>unknown</t>
        </is>
      </c>
      <c r="C55" s="1" t="inlineStr">
        <is>
          <t>準1</t>
        </is>
      </c>
      <c r="D55" s="1" t="inlineStr">
        <is>
          <t>スピーチ</t>
        </is>
      </c>
      <c r="E55" s="1">
        <f>IF(D55="ストーリー", INT((COUNTIF($D$2:D55, "ストーリー")-1)/3) + 1, "NA")</f>
        <v/>
      </c>
      <c r="F55" s="1" t="inlineStr">
        <is>
          <t>◎聞こえない人や手話ついてまわりの人に話すとしたらどんなことを話しますか。</t>
        </is>
      </c>
      <c r="G55" s="1" t="n"/>
      <c r="H55" s="1" t="n"/>
      <c r="I55" s="1" t="n"/>
      <c r="J55" s="4" t="n"/>
      <c r="K55" s="4" t="inlineStr">
        <is>
          <t>KatsuoShuwaDoga</t>
        </is>
      </c>
    </row>
    <row r="56" hidden="1" ht="18.75" customFormat="1" customHeight="1" s="6">
      <c r="A56" s="1">
        <f>ROW()-1</f>
        <v/>
      </c>
      <c r="B56" s="1" t="inlineStr">
        <is>
          <t>unknown</t>
        </is>
      </c>
      <c r="C56" s="1" t="inlineStr">
        <is>
          <t>準1</t>
        </is>
      </c>
      <c r="D56" s="1" t="inlineStr">
        <is>
          <t>スピーチ</t>
        </is>
      </c>
      <c r="E56" s="1">
        <f>IF(D56="ストーリー", INT((COUNTIF($D$2:D56, "ストーリー")-1)/3) + 1, "NA")</f>
        <v/>
      </c>
      <c r="F56" s="1" t="inlineStr">
        <is>
          <t>◎聴覚障害者と接するときに心がけていること。</t>
        </is>
      </c>
      <c r="G56" s="1" t="n"/>
      <c r="H56" s="1" t="n"/>
      <c r="I56" s="1" t="n"/>
      <c r="J56" s="4" t="n"/>
      <c r="K56" s="4" t="inlineStr">
        <is>
          <t>KatsuoShuwaDoga</t>
        </is>
      </c>
    </row>
    <row r="57" hidden="1" ht="18.75" customFormat="1" customHeight="1" s="6">
      <c r="A57" s="1">
        <f>ROW()-1</f>
        <v/>
      </c>
      <c r="B57" s="1" t="inlineStr">
        <is>
          <t>unknown</t>
        </is>
      </c>
      <c r="C57" s="1" t="inlineStr">
        <is>
          <t>準1</t>
        </is>
      </c>
      <c r="D57" s="1" t="inlineStr">
        <is>
          <t>スピーチ</t>
        </is>
      </c>
      <c r="E57" s="1">
        <f>IF(D57="ストーリー", INT((COUNTIF($D$2:D57, "ストーリー")-1)/3) + 1, "NA")</f>
        <v/>
      </c>
      <c r="F57" s="1" t="inlineStr">
        <is>
          <t>◎オリンピック、パラリンピックについてあなたの思っていることを話してください</t>
        </is>
      </c>
      <c r="G57" s="1" t="n"/>
      <c r="H57" s="1" t="n"/>
      <c r="I57" s="1" t="n"/>
      <c r="J57" s="4" t="n"/>
      <c r="K57" s="4" t="inlineStr">
        <is>
          <t>KatsuoShuwaDoga</t>
        </is>
      </c>
    </row>
    <row r="58" hidden="1" ht="18.75" customFormat="1" customHeight="1" s="6">
      <c r="A58" s="1">
        <f>ROW()-1</f>
        <v/>
      </c>
      <c r="B58" s="1" t="inlineStr">
        <is>
          <t>unknown</t>
        </is>
      </c>
      <c r="C58" s="1" t="inlineStr">
        <is>
          <t>準1</t>
        </is>
      </c>
      <c r="D58" s="1" t="inlineStr">
        <is>
          <t>スピーチ</t>
        </is>
      </c>
      <c r="E58" s="1">
        <f>IF(D58="ストーリー", INT((COUNTIF($D$2:D58, "ストーリー")-1)/3) + 1, "NA")</f>
        <v/>
      </c>
      <c r="F58" s="1" t="inlineStr">
        <is>
          <t>◎手話を学び聴覚障害者と交流する中で自分が学んだこと、変わってきたと思うことを話してください。</t>
        </is>
      </c>
      <c r="G58" s="1" t="n"/>
      <c r="H58" s="1" t="n"/>
      <c r="I58" s="1" t="n"/>
      <c r="J58" s="4" t="n"/>
      <c r="K58" s="4" t="inlineStr">
        <is>
          <t>KatsuoShuwaDoga</t>
        </is>
      </c>
    </row>
    <row r="59" hidden="1" ht="18.75" customFormat="1" customHeight="1" s="6">
      <c r="A59" s="1">
        <f>ROW()-1</f>
        <v/>
      </c>
      <c r="B59" s="1" t="inlineStr">
        <is>
          <t>unknown</t>
        </is>
      </c>
      <c r="C59" s="1" t="inlineStr">
        <is>
          <t>準1</t>
        </is>
      </c>
      <c r="D59" s="1" t="inlineStr">
        <is>
          <t>スピーチ</t>
        </is>
      </c>
      <c r="E59" s="1">
        <f>IF(D59="ストーリー", INT((COUNTIF($D$2:D59, "ストーリー")-1)/3) + 1, "NA")</f>
        <v/>
      </c>
      <c r="F59" s="1" t="inlineStr">
        <is>
          <t>◎今までの手話の学習、ろう者との交流について。</t>
        </is>
      </c>
      <c r="G59" s="1" t="n"/>
      <c r="H59" s="1" t="n"/>
      <c r="I59" s="1" t="n"/>
      <c r="J59" s="4" t="n"/>
      <c r="K59" s="4" t="inlineStr">
        <is>
          <t>KatsuoShuwaDoga</t>
        </is>
      </c>
    </row>
    <row r="60" hidden="1" ht="18.75" customFormat="1" customHeight="1" s="6">
      <c r="A60" s="1">
        <f>ROW()-1</f>
        <v/>
      </c>
      <c r="B60" s="1" t="inlineStr">
        <is>
          <t>unknown</t>
        </is>
      </c>
      <c r="C60" s="1" t="inlineStr">
        <is>
          <t>準1</t>
        </is>
      </c>
      <c r="D60" s="1" t="inlineStr">
        <is>
          <t>スピーチ</t>
        </is>
      </c>
      <c r="E60" s="1">
        <f>IF(D60="ストーリー", INT((COUNTIF($D$2:D60, "ストーリー")-1)/3) + 1, "NA")</f>
        <v/>
      </c>
      <c r="F60" s="1" t="inlineStr">
        <is>
          <t>◎関心のある最近のニュースについて。</t>
        </is>
      </c>
      <c r="G60" s="1" t="n"/>
      <c r="H60" s="1" t="n"/>
      <c r="I60" s="1" t="n"/>
      <c r="J60" s="4" t="n"/>
      <c r="K60" s="4" t="inlineStr">
        <is>
          <t>KatsuoShuwaDoga</t>
        </is>
      </c>
    </row>
    <row r="61" hidden="1" ht="18.75" customFormat="1" customHeight="1" s="6">
      <c r="A61" s="1">
        <f>ROW()-1</f>
        <v/>
      </c>
      <c r="B61" s="1" t="inlineStr">
        <is>
          <t>unknown</t>
        </is>
      </c>
      <c r="C61" s="1" t="inlineStr">
        <is>
          <t>準1</t>
        </is>
      </c>
      <c r="D61" s="1" t="inlineStr">
        <is>
          <t>スピーチ</t>
        </is>
      </c>
      <c r="E61" s="1">
        <f>IF(D61="ストーリー", INT((COUNTIF($D$2:D61, "ストーリー")-1)/3) + 1, "NA")</f>
        <v/>
      </c>
      <c r="F61" s="1" t="inlineStr">
        <is>
          <t>◎ロンドンオリンピックについて話してください。</t>
        </is>
      </c>
      <c r="G61" s="1" t="n"/>
      <c r="H61" s="1" t="n"/>
      <c r="I61" s="1" t="n"/>
      <c r="J61" s="4" t="n"/>
      <c r="K61" s="4" t="inlineStr">
        <is>
          <t>KatsuoShuwaDoga</t>
        </is>
      </c>
    </row>
    <row r="62" hidden="1" ht="18.75" customFormat="1" customHeight="1" s="6">
      <c r="A62" s="1">
        <f>ROW()-1</f>
        <v/>
      </c>
      <c r="B62" s="1" t="inlineStr">
        <is>
          <t>unknown</t>
        </is>
      </c>
      <c r="C62" s="1" t="inlineStr">
        <is>
          <t>準1</t>
        </is>
      </c>
      <c r="D62" s="1" t="inlineStr">
        <is>
          <t>スピーチ</t>
        </is>
      </c>
      <c r="E62" s="1">
        <f>IF(D62="ストーリー", INT((COUNTIF($D$2:D62, "ストーリー")-1)/3) + 1, "NA")</f>
        <v/>
      </c>
      <c r="F62" s="1" t="inlineStr">
        <is>
          <t>◎手話で会話できることを生かして地域、学校、職場でどのような活動ができると思いますか。あなたの考えを話してください。</t>
        </is>
      </c>
      <c r="G62" s="1" t="n"/>
      <c r="H62" s="1" t="n"/>
      <c r="I62" s="1" t="n"/>
      <c r="J62" s="4" t="n"/>
      <c r="K62" s="4" t="inlineStr">
        <is>
          <t>KatsuoShuwaDoga</t>
        </is>
      </c>
    </row>
    <row r="63" hidden="1" ht="18.75" customFormat="1" customHeight="1" s="6">
      <c r="A63" s="1">
        <f>ROW()-1</f>
        <v/>
      </c>
      <c r="B63" s="1" t="inlineStr">
        <is>
          <t>unknown</t>
        </is>
      </c>
      <c r="C63" s="1" t="inlineStr">
        <is>
          <t>準1</t>
        </is>
      </c>
      <c r="D63" s="1" t="inlineStr">
        <is>
          <t>スピーチ</t>
        </is>
      </c>
      <c r="E63" s="1">
        <f>IF(D63="ストーリー", INT((COUNTIF($D$2:D63, "ストーリー")-1)/3) + 1, "NA")</f>
        <v/>
      </c>
      <c r="F63" s="1" t="inlineStr">
        <is>
          <t>◎ろうあ者、聴覚障害者との交流を通じて感じたこと。</t>
        </is>
      </c>
      <c r="G63" s="1" t="n"/>
      <c r="H63" s="1" t="n"/>
      <c r="I63" s="1" t="n"/>
      <c r="J63" s="4" t="n"/>
      <c r="K63" s="4" t="inlineStr">
        <is>
          <t>KatsuoShuwaDoga</t>
        </is>
      </c>
    </row>
    <row r="64" hidden="1" ht="18.75" customFormat="1" customHeight="1" s="6">
      <c r="A64" s="1">
        <f>ROW()-1</f>
        <v/>
      </c>
      <c r="B64" s="1" t="inlineStr">
        <is>
          <t>unknown</t>
        </is>
      </c>
      <c r="C64" s="1" t="n">
        <v>1</v>
      </c>
      <c r="D64" s="1" t="inlineStr">
        <is>
          <t>スピーチ</t>
        </is>
      </c>
      <c r="E64" s="1">
        <f>IF(D64="ストーリー", INT((COUNTIF($D$2:D64, "ストーリー")-1)/3) + 1, "NA")</f>
        <v/>
      </c>
      <c r="F64" s="1" t="inlineStr">
        <is>
          <t>◎県知事記者会見の手話通訳など、ろう者の情報保障について考えていることを話してください。</t>
        </is>
      </c>
      <c r="G64" s="1" t="n"/>
      <c r="H64" s="1" t="n"/>
      <c r="I64" s="1" t="n"/>
      <c r="J64" s="4" t="n"/>
      <c r="K64" s="4" t="inlineStr">
        <is>
          <t>KatsuoShuwaDoga</t>
        </is>
      </c>
    </row>
    <row r="65" hidden="1" ht="18.75" customFormat="1" customHeight="1" s="6">
      <c r="A65" s="1">
        <f>ROW()-1</f>
        <v/>
      </c>
      <c r="B65" s="1" t="inlineStr">
        <is>
          <t>unknown</t>
        </is>
      </c>
      <c r="C65" s="1" t="n">
        <v>1</v>
      </c>
      <c r="D65" s="1" t="inlineStr">
        <is>
          <t>スピーチ</t>
        </is>
      </c>
      <c r="E65" s="1">
        <f>IF(D65="ストーリー", INT((COUNTIF($D$2:D65, "ストーリー")-1)/3) + 1, "NA")</f>
        <v/>
      </c>
      <c r="F65" s="1" t="inlineStr">
        <is>
          <t>◎新しい手話の創作と普及について、あなたの考えを述べてください。</t>
        </is>
      </c>
      <c r="G65" s="1" t="n"/>
      <c r="H65" s="1" t="n"/>
      <c r="I65" s="1" t="n"/>
      <c r="J65" s="4" t="n"/>
      <c r="K65" s="4" t="inlineStr">
        <is>
          <t>KatsuoShuwaDoga</t>
        </is>
      </c>
    </row>
    <row r="66" hidden="1" ht="18.75" customFormat="1" customHeight="1" s="6">
      <c r="A66" s="1">
        <f>ROW()-1</f>
        <v/>
      </c>
      <c r="B66" s="1" t="inlineStr">
        <is>
          <t>unknown</t>
        </is>
      </c>
      <c r="C66" s="1" t="n">
        <v>1</v>
      </c>
      <c r="D66" s="1" t="inlineStr">
        <is>
          <t>スピーチ</t>
        </is>
      </c>
      <c r="E66" s="1">
        <f>IF(D66="ストーリー", INT((COUNTIF($D$2:D66, "ストーリー")-1)/3) + 1, "NA")</f>
        <v/>
      </c>
      <c r="F66" s="1" t="inlineStr">
        <is>
          <t>◎手話言語の普及、広がりについてどう思いますか。</t>
        </is>
      </c>
      <c r="G66" s="1" t="n"/>
      <c r="H66" s="1" t="n"/>
      <c r="I66" s="1" t="n"/>
      <c r="J66" s="4" t="n"/>
      <c r="K66" s="4" t="inlineStr">
        <is>
          <t>KatsuoShuwaDoga</t>
        </is>
      </c>
    </row>
    <row r="67" hidden="1" ht="18.75" customFormat="1" customHeight="1" s="6">
      <c r="A67" s="1">
        <f>ROW()-1</f>
        <v/>
      </c>
      <c r="B67" s="1" t="inlineStr">
        <is>
          <t>unknown</t>
        </is>
      </c>
      <c r="C67" s="1" t="n">
        <v>1</v>
      </c>
      <c r="D67" s="1" t="inlineStr">
        <is>
          <t>スピーチ</t>
        </is>
      </c>
      <c r="E67" s="1">
        <f>IF(D67="ストーリー", INT((COUNTIF($D$2:D67, "ストーリー")-1)/3) + 1, "NA")</f>
        <v/>
      </c>
      <c r="F67" s="1" t="inlineStr">
        <is>
          <t>◎手話を学ぶ魅力について。</t>
        </is>
      </c>
      <c r="G67" s="1" t="n"/>
      <c r="H67" s="1" t="n"/>
      <c r="I67" s="1" t="n"/>
      <c r="J67" s="4" t="n"/>
      <c r="K67" s="4" t="inlineStr">
        <is>
          <t>KatsuoShuwaDoga</t>
        </is>
      </c>
    </row>
    <row r="68" hidden="1" ht="18.75" customFormat="1" customHeight="1" s="6">
      <c r="A68" s="1">
        <f>ROW()-1</f>
        <v/>
      </c>
      <c r="B68" s="1" t="inlineStr">
        <is>
          <t>unknown</t>
        </is>
      </c>
      <c r="C68" s="1" t="n">
        <v>1</v>
      </c>
      <c r="D68" s="1" t="inlineStr">
        <is>
          <t>スピーチ</t>
        </is>
      </c>
      <c r="E68" s="1">
        <f>IF(D68="ストーリー", INT((COUNTIF($D$2:D68, "ストーリー")-1)/3) + 1, "NA")</f>
        <v/>
      </c>
      <c r="F68" s="1" t="inlineStr">
        <is>
          <t>◎少子高齢化についてあなたの考えを話してください。</t>
        </is>
      </c>
      <c r="G68" s="1" t="n"/>
      <c r="H68" s="1" t="n"/>
      <c r="I68" s="1" t="n"/>
      <c r="J68" s="4" t="n"/>
      <c r="K68" s="4" t="inlineStr">
        <is>
          <t>KatsuoShuwaDoga</t>
        </is>
      </c>
    </row>
    <row r="69" hidden="1" ht="18.75" customFormat="1" customHeight="1" s="6">
      <c r="A69" s="1">
        <f>ROW()-1</f>
        <v/>
      </c>
      <c r="B69" s="1" t="inlineStr">
        <is>
          <t>unknown</t>
        </is>
      </c>
      <c r="C69" s="1" t="n">
        <v>1</v>
      </c>
      <c r="D69" s="1" t="inlineStr">
        <is>
          <t>スピーチ</t>
        </is>
      </c>
      <c r="E69" s="1">
        <f>IF(D69="ストーリー", INT((COUNTIF($D$2:D69, "ストーリー")-1)/3) + 1, "NA")</f>
        <v/>
      </c>
      <c r="F69" s="1" t="inlineStr">
        <is>
          <t>◎防災について、あなたが思うことを話してください。</t>
        </is>
      </c>
      <c r="G69" s="1" t="n"/>
      <c r="H69" s="1" t="n"/>
      <c r="I69" s="1" t="n"/>
      <c r="J69" s="4" t="n"/>
      <c r="K69" s="4" t="inlineStr">
        <is>
          <t>KatsuoShuwaDoga</t>
        </is>
      </c>
    </row>
    <row r="70" hidden="1" ht="18.75" customFormat="1" customHeight="1" s="6">
      <c r="A70" s="1">
        <f>ROW()-1</f>
        <v/>
      </c>
      <c r="B70" s="1" t="inlineStr">
        <is>
          <t>unknown</t>
        </is>
      </c>
      <c r="C70" s="1" t="n">
        <v>1</v>
      </c>
      <c r="D70" s="1" t="inlineStr">
        <is>
          <t>スピーチ</t>
        </is>
      </c>
      <c r="E70" s="1">
        <f>IF(D70="ストーリー", INT((COUNTIF($D$2:D70, "ストーリー")-1)/3) + 1, "NA")</f>
        <v/>
      </c>
      <c r="F70" s="1" t="inlineStr">
        <is>
          <t>◎生活、文化、伝統など日本の良いと思うところを話してください。</t>
        </is>
      </c>
      <c r="G70" s="1" t="n"/>
      <c r="H70" s="1" t="n"/>
      <c r="I70" s="1" t="n"/>
      <c r="J70" s="4" t="n"/>
      <c r="K70" s="4" t="inlineStr">
        <is>
          <t>KatsuoShuwaDoga</t>
        </is>
      </c>
    </row>
    <row r="71" hidden="1" ht="18.75" customFormat="1" customHeight="1" s="6">
      <c r="A71" s="1">
        <f>ROW()-1</f>
        <v/>
      </c>
      <c r="B71" s="1" t="inlineStr">
        <is>
          <t>unknown</t>
        </is>
      </c>
      <c r="C71" s="1" t="n">
        <v>1</v>
      </c>
      <c r="D71" s="1" t="inlineStr">
        <is>
          <t>スピーチ</t>
        </is>
      </c>
      <c r="E71" s="1">
        <f>IF(D71="ストーリー", INT((COUNTIF($D$2:D71, "ストーリー")-1)/3) + 1, "NA")</f>
        <v/>
      </c>
      <c r="F71" s="1" t="inlineStr">
        <is>
          <t>◎スマートフォン、携帯電話での連絡コミュニケーションが広がってます。あなたはどう思いますか。</t>
        </is>
      </c>
      <c r="G71" s="1" t="n"/>
      <c r="H71" s="1" t="n"/>
      <c r="I71" s="1" t="n"/>
      <c r="J71" s="4" t="n"/>
      <c r="K71" s="4" t="inlineStr">
        <is>
          <t>KatsuoShuwaDoga</t>
        </is>
      </c>
    </row>
    <row r="72" hidden="1" ht="18.75" customFormat="1" customHeight="1" s="6">
      <c r="A72" s="1">
        <f>ROW()-1</f>
        <v/>
      </c>
      <c r="B72" s="1" t="inlineStr">
        <is>
          <t>unknown</t>
        </is>
      </c>
      <c r="C72" s="1" t="n">
        <v>1</v>
      </c>
      <c r="D72" s="1" t="inlineStr">
        <is>
          <t>スピーチ</t>
        </is>
      </c>
      <c r="E72" s="1">
        <f>IF(D72="ストーリー", INT((COUNTIF($D$2:D72, "ストーリー")-1)/3) + 1, "NA")</f>
        <v/>
      </c>
      <c r="F72" s="1" t="inlineStr">
        <is>
          <t>◎環境問題についてあなたの考えを話してください。</t>
        </is>
      </c>
      <c r="G72" s="1" t="n"/>
      <c r="H72" s="1" t="n"/>
      <c r="I72" s="1" t="n"/>
      <c r="J72" s="4" t="n"/>
      <c r="K72" s="4" t="inlineStr">
        <is>
          <t>KatsuoShuwaDoga</t>
        </is>
      </c>
    </row>
    <row r="73" hidden="1" ht="18.75" customFormat="1" customHeight="1" s="6">
      <c r="A73" s="1">
        <f>ROW()-1</f>
        <v/>
      </c>
      <c r="B73" s="1" t="inlineStr">
        <is>
          <t>unknown</t>
        </is>
      </c>
      <c r="C73" s="1" t="n">
        <v>1</v>
      </c>
      <c r="D73" s="1" t="inlineStr">
        <is>
          <t>スピーチ</t>
        </is>
      </c>
      <c r="E73" s="1">
        <f>IF(D73="ストーリー", INT((COUNTIF($D$2:D73, "ストーリー")-1)/3) + 1, "NA")</f>
        <v/>
      </c>
      <c r="F73" s="1" t="inlineStr">
        <is>
          <t>◎節電対策について話してください。</t>
        </is>
      </c>
      <c r="G73" s="1" t="n"/>
      <c r="H73" s="1" t="n"/>
      <c r="I73" s="1" t="n"/>
      <c r="J73" s="4" t="n"/>
      <c r="K73" s="4" t="inlineStr">
        <is>
          <t>KatsuoShuwaDoga</t>
        </is>
      </c>
    </row>
    <row r="74" hidden="1" ht="18.75" customFormat="1" customHeight="1" s="6">
      <c r="A74" s="1">
        <f>ROW()-1</f>
        <v/>
      </c>
      <c r="B74" s="1" t="inlineStr">
        <is>
          <t>unknown</t>
        </is>
      </c>
      <c r="C74" s="1" t="n">
        <v>1</v>
      </c>
      <c r="D74" s="1" t="inlineStr">
        <is>
          <t>スピーチ</t>
        </is>
      </c>
      <c r="E74" s="1">
        <f>IF(D74="ストーリー", INT((COUNTIF($D$2:D74, "ストーリー")-1)/3) + 1, "NA")</f>
        <v/>
      </c>
      <c r="F74" s="1" t="inlineStr">
        <is>
          <t>◎東日本大震災について思うことを話してください。</t>
        </is>
      </c>
      <c r="G74" s="1" t="n"/>
      <c r="H74" s="1" t="n"/>
      <c r="I74" s="1" t="n"/>
      <c r="J74" s="4" t="n"/>
      <c r="K74" s="4" t="inlineStr">
        <is>
          <t>KatsuoShuwaDoga</t>
        </is>
      </c>
    </row>
    <row r="75" hidden="1" ht="18.75" customFormat="1" customHeight="1" s="6">
      <c r="A75" s="1">
        <f>ROW()-1</f>
        <v/>
      </c>
      <c r="B75" s="1" t="inlineStr">
        <is>
          <t>unknown</t>
        </is>
      </c>
      <c r="C75" s="1" t="n">
        <v>1</v>
      </c>
      <c r="D75" s="1" t="inlineStr">
        <is>
          <t>スピーチ</t>
        </is>
      </c>
      <c r="E75" s="1">
        <f>IF(D75="ストーリー", INT((COUNTIF($D$2:D75, "ストーリー")-1)/3) + 1, "NA")</f>
        <v/>
      </c>
      <c r="F75" s="1" t="inlineStr">
        <is>
          <t>◎あなたが今まで学習活動をしてきて感じた手話の魅力について考えていること。</t>
        </is>
      </c>
      <c r="G75" s="1" t="n"/>
      <c r="H75" s="1" t="n"/>
      <c r="I75" s="1" t="n"/>
      <c r="J75" s="4" t="n"/>
      <c r="K75" s="4" t="inlineStr">
        <is>
          <t>KatsuoShuwaDoga</t>
        </is>
      </c>
    </row>
    <row r="76" hidden="1" ht="63" customHeight="1">
      <c r="A76" s="1">
        <f>ROW()-1</f>
        <v/>
      </c>
      <c r="B76" s="1" t="n">
        <v>2023</v>
      </c>
      <c r="C76" s="1" t="n">
        <v>5</v>
      </c>
      <c r="D76" s="1" t="inlineStr">
        <is>
          <t>基本単語</t>
        </is>
      </c>
      <c r="E76" s="1">
        <f>IF(D76="ストーリー", INT((COUNTIF($D$2:D76, "ストーリー")-1)/3) + 1, "NA")</f>
        <v/>
      </c>
      <c r="F76" s="1" t="inlineStr">
        <is>
          <t>単語の意味を選択してください。</t>
        </is>
      </c>
      <c r="G76" s="2" t="inlineStr">
        <is>
          <t>1. 忙しい
2. 新しい
3. 浅い
4. 大きい</t>
        </is>
      </c>
      <c r="H76" s="1" t="n">
        <v>2</v>
      </c>
      <c r="I76" s="1" t="inlineStr">
        <is>
          <t>snTuz3wNw4g</t>
        </is>
      </c>
      <c r="J76" s="1" t="inlineStr">
        <is>
          <t>新田義貞が刀を池に投げ入れる様子とも、新しいものが輝いている様子ともいわれている。</t>
        </is>
      </c>
      <c r="K76" s="4" t="inlineStr">
        <is>
          <t>KatsuoShuwaDoga</t>
        </is>
      </c>
    </row>
    <row r="77" hidden="1" ht="63" customHeight="1">
      <c r="A77" s="1">
        <f>ROW()-1</f>
        <v/>
      </c>
      <c r="B77" s="1" t="n">
        <v>2023</v>
      </c>
      <c r="C77" s="1" t="n">
        <v>5</v>
      </c>
      <c r="D77" s="1" t="inlineStr">
        <is>
          <t>基本単語</t>
        </is>
      </c>
      <c r="E77" s="1">
        <f>IF(D77="ストーリー", INT((COUNTIF($D$2:D77, "ストーリー")-1)/3) + 1, "NA")</f>
        <v/>
      </c>
      <c r="F77" s="1" t="inlineStr">
        <is>
          <t>単語の意味を選択してください。</t>
        </is>
      </c>
      <c r="G77" s="2" t="inlineStr">
        <is>
          <t>1. 方法
2. 安心
3. 得意
4. 質問</t>
        </is>
      </c>
      <c r="H77" s="1" t="n">
        <v>3</v>
      </c>
      <c r="I77" s="1" t="inlineStr">
        <is>
          <t>qNuTv2tLFGM</t>
        </is>
      </c>
      <c r="J77" s="1" t="inlineStr">
        <is>
          <t>鼻が伸びている得意げな様子。</t>
        </is>
      </c>
      <c r="K77" s="4" t="inlineStr">
        <is>
          <t>KatsuoShuwaDoga</t>
        </is>
      </c>
    </row>
    <row r="78" hidden="1" ht="63" customHeight="1">
      <c r="A78" s="1">
        <f>ROW()-1</f>
        <v/>
      </c>
      <c r="B78" s="1" t="n">
        <v>2023</v>
      </c>
      <c r="C78" s="1" t="n">
        <v>5</v>
      </c>
      <c r="D78" s="1" t="inlineStr">
        <is>
          <t>基本単語</t>
        </is>
      </c>
      <c r="E78" s="1">
        <f>IF(D78="ストーリー", INT((COUNTIF($D$2:D78, "ストーリー")-1)/3) + 1, "NA")</f>
        <v/>
      </c>
      <c r="F78" s="1" t="inlineStr">
        <is>
          <t>単語の意味を選択してください。</t>
        </is>
      </c>
      <c r="G78" s="2" t="inlineStr">
        <is>
          <t>1. 考える
2. 行く
3. 使う
4. 作る</t>
        </is>
      </c>
      <c r="H78" s="1" t="n">
        <v>3</v>
      </c>
      <c r="I78" s="1" t="inlineStr">
        <is>
          <t>wYxrp-R5w3A</t>
        </is>
      </c>
      <c r="J78" s="1" t="inlineStr">
        <is>
          <t>もともとは「お金を使う」に限定された手話だったとも…。</t>
        </is>
      </c>
      <c r="K78" s="4" t="inlineStr">
        <is>
          <t>KatsuoShuwaDoga</t>
        </is>
      </c>
    </row>
    <row r="79" hidden="1" ht="63" customHeight="1">
      <c r="A79" s="1">
        <f>ROW()-1</f>
        <v/>
      </c>
      <c r="B79" s="1" t="n">
        <v>2023</v>
      </c>
      <c r="C79" s="1" t="n">
        <v>5</v>
      </c>
      <c r="D79" s="1" t="inlineStr">
        <is>
          <t>基本単語</t>
        </is>
      </c>
      <c r="E79" s="1">
        <f>IF(D79="ストーリー", INT((COUNTIF($D$2:D79, "ストーリー")-1)/3) + 1, "NA")</f>
        <v/>
      </c>
      <c r="F79" s="1" t="inlineStr">
        <is>
          <t>単語の意味を選択してください。</t>
        </is>
      </c>
      <c r="G79" s="2" t="inlineStr">
        <is>
          <t>1. 18
2. 36
3. 72
4. 96</t>
        </is>
      </c>
      <c r="H79" s="1" t="n">
        <v>1</v>
      </c>
      <c r="I79" s="1" t="inlineStr">
        <is>
          <t>CjpW5EEu-Io</t>
        </is>
      </c>
      <c r="J79" s="1" t="inlineStr">
        <is>
          <t>8の手話は難しい。</t>
        </is>
      </c>
      <c r="K79" s="4" t="inlineStr">
        <is>
          <t>KatsuoShuwaDoga</t>
        </is>
      </c>
    </row>
    <row r="80" hidden="1" ht="63" customHeight="1">
      <c r="A80" s="1">
        <f>ROW()-1</f>
        <v/>
      </c>
      <c r="B80" s="1" t="n">
        <v>2023</v>
      </c>
      <c r="C80" s="1" t="n">
        <v>5</v>
      </c>
      <c r="D80" s="1" t="inlineStr">
        <is>
          <t>短文</t>
        </is>
      </c>
      <c r="E80" s="1">
        <f>IF(D80="ストーリー", INT((COUNTIF($D$2:D80, "ストーリー")-1)/3) + 1, "NA")</f>
        <v/>
      </c>
      <c r="F80" s="1" t="inlineStr">
        <is>
          <t>名前は何ですか？</t>
        </is>
      </c>
      <c r="G80" s="2" t="inlineStr">
        <is>
          <t>1. 山田
2. 池田
3. 山本
4. 吉川</t>
        </is>
      </c>
      <c r="H80" s="1" t="n">
        <v>3</v>
      </c>
      <c r="I80" s="1" t="inlineStr">
        <is>
          <t>qZH_LxzGSQY</t>
        </is>
      </c>
      <c r="J80" s="1" t="inlineStr">
        <is>
          <t>私の名前は山本じゅんきです。</t>
        </is>
      </c>
      <c r="K80" s="4" t="inlineStr">
        <is>
          <t>KatsuoShuwaDoga</t>
        </is>
      </c>
    </row>
    <row r="81" hidden="1" ht="63" customHeight="1">
      <c r="A81" s="1">
        <f>ROW()-1</f>
        <v/>
      </c>
      <c r="B81" s="1" t="n">
        <v>2023</v>
      </c>
      <c r="C81" s="1" t="n">
        <v>5</v>
      </c>
      <c r="D81" s="1" t="inlineStr">
        <is>
          <t>短文</t>
        </is>
      </c>
      <c r="E81" s="1">
        <f>IF(D81="ストーリー", INT((COUNTIF($D$2:D81, "ストーリー")-1)/3) + 1, "NA")</f>
        <v/>
      </c>
      <c r="F81" s="1" t="inlineStr">
        <is>
          <t>仕事は何ですか？</t>
        </is>
      </c>
      <c r="G81" s="2" t="inlineStr">
        <is>
          <t>1. ラーメン屋
2. スーパー 
3. パチンコ
4. 料理人</t>
        </is>
      </c>
      <c r="H81" s="1" t="n">
        <v>2</v>
      </c>
      <c r="I81" s="1" t="inlineStr">
        <is>
          <t>VxskHwOgB0k</t>
        </is>
      </c>
      <c r="J81" s="1" t="inlineStr">
        <is>
          <t>私はスーパーで働いています。</t>
        </is>
      </c>
      <c r="K81" s="4" t="inlineStr">
        <is>
          <t>KatsuoShuwaDoga</t>
        </is>
      </c>
    </row>
    <row r="82" hidden="1" ht="63" customHeight="1">
      <c r="A82" s="1">
        <f>ROW()-1</f>
        <v/>
      </c>
      <c r="B82" s="1" t="n">
        <v>2023</v>
      </c>
      <c r="C82" s="1" t="n">
        <v>5</v>
      </c>
      <c r="D82" s="1" t="inlineStr">
        <is>
          <t>短文</t>
        </is>
      </c>
      <c r="E82" s="1">
        <f>IF(D82="ストーリー", INT((COUNTIF($D$2:D82, "ストーリー")-1)/3) + 1, "NA")</f>
        <v/>
      </c>
      <c r="F82" s="1" t="inlineStr">
        <is>
          <t>何曜日に行きますか？</t>
        </is>
      </c>
      <c r="G82" s="2" t="inlineStr">
        <is>
          <t>1. 月曜日
2. 土曜日
3. 木曜日
4. 金曜日</t>
        </is>
      </c>
      <c r="H82" s="1" t="n">
        <v>4</v>
      </c>
      <c r="I82" s="1" t="inlineStr">
        <is>
          <t>dHcR3H6UMXo</t>
        </is>
      </c>
      <c r="J82" s="1" t="inlineStr">
        <is>
          <t>母は金曜日に料理を習いに行きます。</t>
        </is>
      </c>
      <c r="K82" s="4" t="inlineStr">
        <is>
          <t>KatsuoShuwaDoga</t>
        </is>
      </c>
    </row>
    <row r="83" hidden="1" ht="63" customHeight="1">
      <c r="A83" s="1">
        <f>ROW()-1</f>
        <v/>
      </c>
      <c r="B83" s="1" t="n">
        <v>2023</v>
      </c>
      <c r="C83" s="1" t="n">
        <v>5</v>
      </c>
      <c r="D83" s="1" t="inlineStr">
        <is>
          <t>短文</t>
        </is>
      </c>
      <c r="E83" s="1">
        <f>IF(D83="ストーリー", INT((COUNTIF($D$2:D83, "ストーリー")-1)/3) + 1, "NA")</f>
        <v/>
      </c>
      <c r="F83" s="1" t="inlineStr">
        <is>
          <t>得意なのは誰ですか？</t>
        </is>
      </c>
      <c r="G83" s="2" t="inlineStr">
        <is>
          <t>1. 息子
2. 父
3. 母
4. 娘</t>
        </is>
      </c>
      <c r="H83" s="1" t="n">
        <v>2</v>
      </c>
      <c r="I83" s="1" t="inlineStr">
        <is>
          <t>Run-XGC8x5c</t>
        </is>
      </c>
      <c r="J83" s="1" t="inlineStr">
        <is>
          <t>父はパソコンが得意です。</t>
        </is>
      </c>
      <c r="K83" s="4" t="inlineStr">
        <is>
          <t>KatsuoShuwaDoga</t>
        </is>
      </c>
    </row>
    <row r="84" hidden="1" ht="63" customHeight="1">
      <c r="A84" s="1">
        <f>ROW()-1</f>
        <v/>
      </c>
      <c r="B84" s="1" t="n">
        <v>2023</v>
      </c>
      <c r="C84" s="1" t="n">
        <v>5</v>
      </c>
      <c r="D84" s="1" t="inlineStr">
        <is>
          <t>短文</t>
        </is>
      </c>
      <c r="E84" s="1">
        <f>IF(D84="ストーリー", INT((COUNTIF($D$2:D84, "ストーリー")-1)/3) + 1, "NA")</f>
        <v/>
      </c>
      <c r="F84" s="1" t="inlineStr">
        <is>
          <t>どこで教えていますか？</t>
        </is>
      </c>
      <c r="G84" s="2" t="inlineStr">
        <is>
          <t>1. サークル
2. クラブ
3. 幼稚園
4. 近所</t>
        </is>
      </c>
      <c r="H84" s="1" t="n">
        <v>1</v>
      </c>
      <c r="I84" s="1" t="inlineStr">
        <is>
          <t>hHAcgYmYudw</t>
        </is>
      </c>
      <c r="J84" s="1" t="inlineStr">
        <is>
          <t>私はサークルでパソコンを教えています。</t>
        </is>
      </c>
      <c r="K84" s="4" t="inlineStr">
        <is>
          <t>KatsuoShuwaDoga</t>
        </is>
      </c>
    </row>
    <row r="85" hidden="1" ht="63" customHeight="1">
      <c r="A85" s="1">
        <f>ROW()-1</f>
        <v/>
      </c>
      <c r="B85" s="1" t="n">
        <v>2023</v>
      </c>
      <c r="C85" s="1" t="n">
        <v>5</v>
      </c>
      <c r="D85" s="1" t="inlineStr">
        <is>
          <t>短文</t>
        </is>
      </c>
      <c r="E85" s="1">
        <f>IF(D85="ストーリー", INT((COUNTIF($D$2:D85, "ストーリー")-1)/3) + 1, "NA")</f>
        <v/>
      </c>
      <c r="F85" s="1" t="inlineStr">
        <is>
          <t>映画はどうでしたか？</t>
        </is>
      </c>
      <c r="G85" s="2" t="inlineStr">
        <is>
          <t>1. 面白い
2. 楽しい
3. 悲しい
4. さみしい</t>
        </is>
      </c>
      <c r="H85" s="1" t="n">
        <v>1</v>
      </c>
      <c r="I85" s="1" t="inlineStr">
        <is>
          <t>mLYU1-WaoXc</t>
        </is>
      </c>
      <c r="J85" s="1" t="inlineStr">
        <is>
          <t>友達と一緒にいた映画は面白かったです。</t>
        </is>
      </c>
      <c r="K85" s="4" t="inlineStr">
        <is>
          <t>KatsuoShuwaDoga</t>
        </is>
      </c>
    </row>
    <row r="86" hidden="1" ht="63" customHeight="1">
      <c r="A86" s="1">
        <f>ROW()-1</f>
        <v/>
      </c>
      <c r="B86" s="1" t="n">
        <v>2023</v>
      </c>
      <c r="C86" s="1" t="n">
        <v>4</v>
      </c>
      <c r="D86" s="1" t="inlineStr">
        <is>
          <t>基本単語</t>
        </is>
      </c>
      <c r="E86" s="1">
        <f>IF(D86="ストーリー", INT((COUNTIF($D$2:D86, "ストーリー")-1)/3) + 1, "NA")</f>
        <v/>
      </c>
      <c r="F86" s="1" t="inlineStr">
        <is>
          <t>単語の意味を選択してください。</t>
        </is>
      </c>
      <c r="G86" s="2" t="inlineStr">
        <is>
          <t>1. 寺
2. 神社
3. お墓
4. ホテル</t>
        </is>
      </c>
      <c r="H86" s="1" t="n">
        <v>1</v>
      </c>
      <c r="I86" s="1" t="inlineStr">
        <is>
          <t>ebpC4N2AcDE</t>
        </is>
      </c>
      <c r="J86" s="1" t="inlineStr">
        <is>
          <t>木魚を叩く仕草。</t>
        </is>
      </c>
      <c r="K86" s="4" t="inlineStr">
        <is>
          <t>KatsuoShuwaDoga</t>
        </is>
      </c>
    </row>
    <row r="87" hidden="1" ht="63" customHeight="1">
      <c r="A87" s="1">
        <f>ROW()-1</f>
        <v/>
      </c>
      <c r="B87" s="1" t="n">
        <v>2023</v>
      </c>
      <c r="C87" s="1" t="n">
        <v>4</v>
      </c>
      <c r="D87" s="1" t="inlineStr">
        <is>
          <t>基本単語</t>
        </is>
      </c>
      <c r="E87" s="1">
        <f>IF(D87="ストーリー", INT((COUNTIF($D$2:D87, "ストーリー")-1)/3) + 1, "NA")</f>
        <v/>
      </c>
      <c r="F87" s="1" t="inlineStr">
        <is>
          <t>単語の意味を選択してください。</t>
        </is>
      </c>
      <c r="G87" s="2" t="inlineStr">
        <is>
          <t>1. 徹夜
2. 行事
3. 中止
4. バス</t>
        </is>
      </c>
      <c r="H87" s="1" t="n">
        <v>2</v>
      </c>
      <c r="I87" s="1" t="inlineStr">
        <is>
          <t>AdOrXvryCpc</t>
        </is>
      </c>
      <c r="J87" s="1" t="inlineStr">
        <is>
          <t>行事の「行」の字をかたどった表現。よくこんな動き考えたな。</t>
        </is>
      </c>
      <c r="K87" s="4" t="inlineStr">
        <is>
          <t>KatsuoShuwaDoga</t>
        </is>
      </c>
    </row>
    <row r="88" hidden="1" ht="63" customHeight="1">
      <c r="A88" s="1">
        <f>ROW()-1</f>
        <v/>
      </c>
      <c r="B88" s="1" t="n">
        <v>2023</v>
      </c>
      <c r="C88" s="1" t="n">
        <v>4</v>
      </c>
      <c r="D88" s="1" t="inlineStr">
        <is>
          <t>基本単語</t>
        </is>
      </c>
      <c r="E88" s="1">
        <f>IF(D88="ストーリー", INT((COUNTIF($D$2:D88, "ストーリー")-1)/3) + 1, "NA")</f>
        <v/>
      </c>
      <c r="F88" s="1" t="inlineStr">
        <is>
          <t>単語の意味を選択してください。</t>
        </is>
      </c>
      <c r="G88" s="2" t="inlineStr">
        <is>
          <t>1. 岐阜
2. 埼玉
3. 香川
4. 長崎</t>
        </is>
      </c>
      <c r="H88" s="1" t="n">
        <v>3</v>
      </c>
      <c r="I88" s="1" t="inlineStr">
        <is>
          <t>gSZxvmKkok0</t>
        </is>
      </c>
      <c r="J88" s="1" t="inlineStr">
        <is>
          <t>「香り」＋「川」。</t>
        </is>
      </c>
      <c r="K88" s="4" t="inlineStr">
        <is>
          <t>KatsuoShuwaDoga</t>
        </is>
      </c>
    </row>
    <row r="89" hidden="1" ht="63" customHeight="1">
      <c r="A89" s="1">
        <f>ROW()-1</f>
        <v/>
      </c>
      <c r="B89" s="1" t="n">
        <v>2023</v>
      </c>
      <c r="C89" s="1" t="n">
        <v>4</v>
      </c>
      <c r="D89" s="1" t="inlineStr">
        <is>
          <t>基本単語</t>
        </is>
      </c>
      <c r="E89" s="1">
        <f>IF(D89="ストーリー", INT((COUNTIF($D$2:D89, "ストーリー")-1)/3) + 1, "NA")</f>
        <v/>
      </c>
      <c r="F89" s="1" t="inlineStr">
        <is>
          <t>単語の意味を選択してください。</t>
        </is>
      </c>
      <c r="G89" s="2" t="inlineStr">
        <is>
          <t>1. 牛
2. カニ
3. エビ
4. 亀</t>
        </is>
      </c>
      <c r="H89" s="1" t="n">
        <v>4</v>
      </c>
      <c r="I89" s="1" t="inlineStr">
        <is>
          <t>IlwOm_qvtEQ</t>
        </is>
      </c>
      <c r="J89" s="1" t="inlineStr">
        <is>
          <t>亀の頭と甲羅を表現できる。「さん」をつけると兵庫医療大学手話サークルの名称でもある。</t>
        </is>
      </c>
      <c r="K89" s="4" t="inlineStr">
        <is>
          <t>KatsuoShuwaDoga</t>
        </is>
      </c>
    </row>
    <row r="90" hidden="1" ht="63" customHeight="1">
      <c r="A90" s="1">
        <f>ROW()-1</f>
        <v/>
      </c>
      <c r="B90" s="1" t="n">
        <v>2023</v>
      </c>
      <c r="C90" s="1" t="n">
        <v>4</v>
      </c>
      <c r="D90" s="1" t="inlineStr">
        <is>
          <t>基本単語</t>
        </is>
      </c>
      <c r="E90" s="1">
        <f>IF(D90="ストーリー", INT((COUNTIF($D$2:D90, "ストーリー")-1)/3) + 1, "NA")</f>
        <v/>
      </c>
      <c r="F90" s="1" t="inlineStr">
        <is>
          <t>単語の意味を選択してください。</t>
        </is>
      </c>
      <c r="G90" s="2" t="inlineStr">
        <is>
          <t>1. 1時間
2. 1日
3. 1年
4. 1か月</t>
        </is>
      </c>
      <c r="H90" s="1" t="n">
        <v>2</v>
      </c>
      <c r="I90" s="1" t="inlineStr">
        <is>
          <t>tJX4D6lJT7k</t>
        </is>
      </c>
      <c r="J90" s="1" t="inlineStr">
        <is>
          <t>ちなみに「1か月前」という表現は定義上は存在しないらしい。</t>
        </is>
      </c>
      <c r="K90" s="4" t="inlineStr">
        <is>
          <t>KatsuoShuwaDoga</t>
        </is>
      </c>
    </row>
    <row r="91" hidden="1" ht="63" customHeight="1">
      <c r="A91" s="1">
        <f>ROW()-1</f>
        <v/>
      </c>
      <c r="B91" s="1" t="n">
        <v>2023</v>
      </c>
      <c r="C91" s="1" t="n">
        <v>4</v>
      </c>
      <c r="D91" s="1" t="inlineStr">
        <is>
          <t>短文</t>
        </is>
      </c>
      <c r="E91" s="1">
        <f>IF(D91="ストーリー", INT((COUNTIF($D$2:D91, "ストーリー")-1)/3) + 1, "NA")</f>
        <v/>
      </c>
      <c r="F91" s="1" t="inlineStr">
        <is>
          <t>手話サークルは何時から何時までですか？</t>
        </is>
      </c>
      <c r="G91" s="2" t="inlineStr">
        <is>
          <t>1. 2時から4時
2. 3時から5時
3. 8時から9時
4. 10時から12時</t>
        </is>
      </c>
      <c r="H91" s="1" t="n">
        <v>1</v>
      </c>
      <c r="I91" s="1" t="inlineStr">
        <is>
          <t>r3rQN_MppxI</t>
        </is>
      </c>
      <c r="J91" s="1" t="inlineStr">
        <is>
          <t>息子は手話サークルに2時から4時まで通って頑張っています。</t>
        </is>
      </c>
      <c r="K91" s="4" t="inlineStr">
        <is>
          <t>KatsuoShuwaDoga</t>
        </is>
      </c>
    </row>
    <row r="92" hidden="1" ht="63" customHeight="1">
      <c r="A92" s="1">
        <f>ROW()-1</f>
        <v/>
      </c>
      <c r="B92" s="1" t="n">
        <v>2023</v>
      </c>
      <c r="C92" s="1" t="n">
        <v>4</v>
      </c>
      <c r="D92" s="1" t="inlineStr">
        <is>
          <t>短文</t>
        </is>
      </c>
      <c r="E92" s="1">
        <f>IF(D92="ストーリー", INT((COUNTIF($D$2:D92, "ストーリー")-1)/3) + 1, "NA")</f>
        <v/>
      </c>
      <c r="F92" s="1" t="inlineStr">
        <is>
          <t>どこで勉強していますか？</t>
        </is>
      </c>
      <c r="G92" s="2" t="inlineStr">
        <is>
          <t>1. 図書館
2. 学校
3. 友達の家
4. 自分の家</t>
        </is>
      </c>
      <c r="H92" s="1" t="n">
        <v>1</v>
      </c>
      <c r="I92" s="1" t="inlineStr">
        <is>
          <t>Lu5draDEE70</t>
        </is>
      </c>
      <c r="J92" s="1" t="inlineStr">
        <is>
          <t>友達は図書館で勉強しています。</t>
        </is>
      </c>
      <c r="K92" s="4" t="inlineStr">
        <is>
          <t>KatsuoShuwaDoga</t>
        </is>
      </c>
    </row>
    <row r="93" hidden="1" ht="63" customHeight="1">
      <c r="A93" s="1">
        <f>ROW()-1</f>
        <v/>
      </c>
      <c r="B93" s="1" t="n">
        <v>2023</v>
      </c>
      <c r="C93" s="1" t="n">
        <v>4</v>
      </c>
      <c r="D93" s="1" t="inlineStr">
        <is>
          <t>短文</t>
        </is>
      </c>
      <c r="E93" s="1">
        <f>IF(D93="ストーリー", INT((COUNTIF($D$2:D93, "ストーリー")-1)/3) + 1, "NA")</f>
        <v/>
      </c>
      <c r="F93" s="1" t="inlineStr">
        <is>
          <t>大阪へ行くのはいつですか？</t>
        </is>
      </c>
      <c r="G93" s="2" t="inlineStr">
        <is>
          <t>1. 来週
2. 明日
3. 来年
4. お正月</t>
        </is>
      </c>
      <c r="H93" s="1" t="n">
        <v>2</v>
      </c>
      <c r="I93" s="1" t="inlineStr">
        <is>
          <t>KsQ0oWRlyw4</t>
        </is>
      </c>
      <c r="J93" s="1" t="inlineStr">
        <is>
          <t>東京に来週行きます。明日は大阪に行きます。</t>
        </is>
      </c>
      <c r="K93" s="4" t="inlineStr">
        <is>
          <t>KatsuoShuwaDoga</t>
        </is>
      </c>
    </row>
    <row r="94" hidden="1" ht="63" customHeight="1">
      <c r="A94" s="1">
        <f>ROW()-1</f>
        <v/>
      </c>
      <c r="B94" s="1" t="n">
        <v>2023</v>
      </c>
      <c r="C94" s="1" t="n">
        <v>4</v>
      </c>
      <c r="D94" s="1" t="inlineStr">
        <is>
          <t>短文</t>
        </is>
      </c>
      <c r="E94" s="1">
        <f>IF(D94="ストーリー", INT((COUNTIF($D$2:D94, "ストーリー")-1)/3) + 1, "NA")</f>
        <v/>
      </c>
      <c r="F94" s="1" t="inlineStr">
        <is>
          <t>彼女にプレゼントするのはなぜですか？</t>
        </is>
      </c>
      <c r="G94" s="2" t="inlineStr">
        <is>
          <t>1. 退院
2. 結婚
3. 謝罪
4. 感謝</t>
        </is>
      </c>
      <c r="H94" s="1" t="n">
        <v>4</v>
      </c>
      <c r="I94" s="1" t="inlineStr">
        <is>
          <t>RJQg47UmNlI</t>
        </is>
      </c>
      <c r="J94" s="1" t="inlineStr">
        <is>
          <t>彼女に感謝を伝えるために北海道旅行をプレゼントします。</t>
        </is>
      </c>
      <c r="K94" s="4" t="inlineStr">
        <is>
          <t>KatsuoShuwaDoga</t>
        </is>
      </c>
    </row>
    <row r="95" hidden="1" ht="63" customHeight="1">
      <c r="A95" s="1">
        <f>ROW()-1</f>
        <v/>
      </c>
      <c r="B95" s="1" t="n">
        <v>2023</v>
      </c>
      <c r="C95" s="1" t="n">
        <v>4</v>
      </c>
      <c r="D95" s="1" t="inlineStr">
        <is>
          <t>短文</t>
        </is>
      </c>
      <c r="E95" s="1">
        <f>IF(D95="ストーリー", INT((COUNTIF($D$2:D95, "ストーリー")-1)/3) + 1, "NA")</f>
        <v/>
      </c>
      <c r="F95" s="1" t="inlineStr">
        <is>
          <t>母はどこで暮らしていますか？</t>
        </is>
      </c>
      <c r="G95" s="2" t="inlineStr">
        <is>
          <t>1. 奈良
2. 大阪
3. 東京
4. 広島</t>
        </is>
      </c>
      <c r="H95" s="1" t="n">
        <v>1</v>
      </c>
      <c r="I95" s="1" t="inlineStr">
        <is>
          <t>N6P6Bc6-ZI4</t>
        </is>
      </c>
      <c r="J95" s="1" t="inlineStr">
        <is>
          <t>奈良で暮らす母に介護が必要と姉から連絡があり、心配です。</t>
        </is>
      </c>
      <c r="K95" s="4" t="inlineStr">
        <is>
          <t>KatsuoShuwaDoga</t>
        </is>
      </c>
    </row>
    <row r="96" hidden="1" ht="63" customHeight="1">
      <c r="A96" s="1">
        <f>ROW()-1</f>
        <v/>
      </c>
      <c r="B96" s="1" t="n">
        <v>2023</v>
      </c>
      <c r="C96" s="1" t="n">
        <v>3</v>
      </c>
      <c r="D96" s="1" t="inlineStr">
        <is>
          <t>基本単語</t>
        </is>
      </c>
      <c r="E96" s="1">
        <f>IF(D96="ストーリー", INT((COUNTIF($D$2:D96, "ストーリー")-1)/3) + 1, "NA")</f>
        <v/>
      </c>
      <c r="F96" s="1" t="inlineStr">
        <is>
          <t>単語の意味を選択してください。</t>
        </is>
      </c>
      <c r="G96" s="2" t="inlineStr">
        <is>
          <t>1. 出席する
2. 叱る
3. 操作する
4. 尊敬する</t>
        </is>
      </c>
      <c r="H96" s="1" t="n">
        <v>1</v>
      </c>
      <c r="I96" s="1" t="inlineStr">
        <is>
          <t>x6McQsLFuCo</t>
        </is>
      </c>
      <c r="J96" s="1" t="inlineStr">
        <is>
          <t>椅子に座る様子で【出席】する。</t>
        </is>
      </c>
      <c r="K96" s="4" t="inlineStr">
        <is>
          <t>KatsuoShuwaDoga</t>
        </is>
      </c>
    </row>
    <row r="97" hidden="1" ht="63" customHeight="1">
      <c r="A97" s="1">
        <f>ROW()-1</f>
        <v/>
      </c>
      <c r="B97" s="1" t="n">
        <v>2023</v>
      </c>
      <c r="C97" s="1" t="n">
        <v>3</v>
      </c>
      <c r="D97" s="1" t="inlineStr">
        <is>
          <t>基本単語</t>
        </is>
      </c>
      <c r="E97" s="1">
        <f>IF(D97="ストーリー", INT((COUNTIF($D$2:D97, "ストーリー")-1)/3) + 1, "NA")</f>
        <v/>
      </c>
      <c r="F97" s="1" t="inlineStr">
        <is>
          <t>単語の意味を選択してください。</t>
        </is>
      </c>
      <c r="G97" s="2" t="inlineStr">
        <is>
          <t>1. 決める
2. 守る
3. 助ける
4. 助けられる</t>
        </is>
      </c>
      <c r="H97" s="1" t="n">
        <v>4</v>
      </c>
      <c r="I97" s="1" t="inlineStr">
        <is>
          <t>9A1JP9Iu4zc</t>
        </is>
      </c>
      <c r="J97" s="1" t="inlineStr">
        <is>
          <t>自分を親指に見立てて支援されるようなイメージ。向きで意味が変わる。</t>
        </is>
      </c>
      <c r="K97" s="4" t="inlineStr">
        <is>
          <t>KatsuoShuwaDoga</t>
        </is>
      </c>
    </row>
    <row r="98" hidden="1" ht="63" customHeight="1">
      <c r="A98" s="1">
        <f>ROW()-1</f>
        <v/>
      </c>
      <c r="B98" s="1" t="n">
        <v>2023</v>
      </c>
      <c r="C98" s="1" t="n">
        <v>3</v>
      </c>
      <c r="D98" s="1" t="inlineStr">
        <is>
          <t>基本単語</t>
        </is>
      </c>
      <c r="E98" s="1">
        <f>IF(D98="ストーリー", INT((COUNTIF($D$2:D98, "ストーリー")-1)/3) + 1, "NA")</f>
        <v/>
      </c>
      <c r="F98" s="1" t="inlineStr">
        <is>
          <t>単語の意味を選択してください。</t>
        </is>
      </c>
      <c r="G98" s="2" t="inlineStr">
        <is>
          <t>1. 事務所
2. コンビニ
3. スーパー
4. 建物</t>
        </is>
      </c>
      <c r="H98" s="1" t="n">
        <v>2</v>
      </c>
      <c r="I98" s="1" t="inlineStr">
        <is>
          <t>mnRK3hFD_L0</t>
        </is>
      </c>
      <c r="J98" s="1" t="inlineStr">
        <is>
          <t>24時間営業のことを表してコンビニ。最近は24時間営業ではないコンビニも現れている。</t>
        </is>
      </c>
      <c r="K98" s="4" t="inlineStr">
        <is>
          <t>KatsuoShuwaDoga</t>
        </is>
      </c>
    </row>
    <row r="99" hidden="1" ht="63" customHeight="1">
      <c r="A99" s="1">
        <f>ROW()-1</f>
        <v/>
      </c>
      <c r="B99" s="1" t="n">
        <v>2023</v>
      </c>
      <c r="C99" s="1" t="n">
        <v>3</v>
      </c>
      <c r="D99" s="1" t="inlineStr">
        <is>
          <t>基本単語</t>
        </is>
      </c>
      <c r="E99" s="1">
        <f>IF(D99="ストーリー", INT((COUNTIF($D$2:D99, "ストーリー")-1)/3) + 1, "NA")</f>
        <v/>
      </c>
      <c r="F99" s="1" t="inlineStr">
        <is>
          <t>単語の意味を選択してください。</t>
        </is>
      </c>
      <c r="G99" s="2" t="inlineStr">
        <is>
          <t>1. 熱い
2. 痛い
3. うるさい
4. 苦しい</t>
        </is>
      </c>
      <c r="H99" s="1" t="n">
        <v>4</v>
      </c>
      <c r="I99" s="1" t="inlineStr">
        <is>
          <t>GxEVsAMPrVY</t>
        </is>
      </c>
      <c r="J99" s="1" t="inlineStr">
        <is>
          <t>胸をかきむしる様子。両手で表現してもよい。</t>
        </is>
      </c>
      <c r="K99" s="4" t="inlineStr">
        <is>
          <t>KatsuoShuwaDoga</t>
        </is>
      </c>
    </row>
    <row r="100" hidden="1" ht="63" customHeight="1">
      <c r="A100" s="1">
        <f>ROW()-1</f>
        <v/>
      </c>
      <c r="B100" s="1" t="n">
        <v>2023</v>
      </c>
      <c r="C100" s="1" t="n">
        <v>3</v>
      </c>
      <c r="D100" s="1" t="inlineStr">
        <is>
          <t>基本単語</t>
        </is>
      </c>
      <c r="E100" s="1">
        <f>IF(D100="ストーリー", INT((COUNTIF($D$2:D100, "ストーリー")-1)/3) + 1, "NA")</f>
        <v/>
      </c>
      <c r="F100" s="1" t="inlineStr">
        <is>
          <t>単語の意味を選択してください。</t>
        </is>
      </c>
      <c r="G100" s="2" t="inlineStr">
        <is>
          <t>1. チョコレート
2. プリン
3. バナナ
4. オレンジ</t>
        </is>
      </c>
      <c r="H100" s="1" t="n">
        <v>2</v>
      </c>
      <c r="I100" s="1" t="inlineStr">
        <is>
          <t>sMQ9NqAZFLU</t>
        </is>
      </c>
      <c r="J100" s="1" t="inlineStr">
        <is>
          <t>この手話だけは知っている人が多い。</t>
        </is>
      </c>
      <c r="K100" s="4" t="inlineStr">
        <is>
          <t>KatsuoShuwaDoga</t>
        </is>
      </c>
    </row>
    <row r="101" hidden="1" ht="63" customHeight="1">
      <c r="A101" s="1">
        <f>ROW()-1</f>
        <v/>
      </c>
      <c r="B101" s="1" t="n">
        <v>2023</v>
      </c>
      <c r="C101" s="1" t="n">
        <v>3</v>
      </c>
      <c r="D101" s="1" t="inlineStr">
        <is>
          <t>短文</t>
        </is>
      </c>
      <c r="E101" s="1">
        <f>IF(D101="ストーリー", INT((COUNTIF($D$2:D101, "ストーリー")-1)/3) + 1, "NA")</f>
        <v/>
      </c>
      <c r="F101" s="1" t="inlineStr">
        <is>
          <t>見に行ったのは何ですか？</t>
        </is>
      </c>
      <c r="G101" s="2" t="inlineStr">
        <is>
          <t>1. 授業
2. 試合
3. 運動会
4. 文化祭</t>
        </is>
      </c>
      <c r="H101" s="1" t="n">
        <v>4</v>
      </c>
      <c r="I101" s="1" t="inlineStr">
        <is>
          <t>CL-c-Rh02pM</t>
        </is>
      </c>
      <c r="J101" s="1" t="inlineStr">
        <is>
          <t>今日は息子の文化祭を見に行きました。手話で踊っていた驚きました。</t>
        </is>
      </c>
      <c r="K101" s="4" t="inlineStr">
        <is>
          <t>KatsuoShuwaDoga</t>
        </is>
      </c>
    </row>
    <row r="102" hidden="1" ht="63" customHeight="1">
      <c r="A102" s="1">
        <f>ROW()-1</f>
        <v/>
      </c>
      <c r="B102" s="1" t="n">
        <v>2023</v>
      </c>
      <c r="C102" s="1" t="n">
        <v>3</v>
      </c>
      <c r="D102" s="1" t="inlineStr">
        <is>
          <t>短文</t>
        </is>
      </c>
      <c r="E102" s="1">
        <f>IF(D102="ストーリー", INT((COUNTIF($D$2:D102, "ストーリー")-1)/3) + 1, "NA")</f>
        <v/>
      </c>
      <c r="F102" s="1" t="inlineStr">
        <is>
          <t>厳しいのは誰ですか？</t>
        </is>
      </c>
      <c r="G102" s="2" t="inlineStr">
        <is>
          <t>1. 父
2. 母
3. 先生
4. 祖父</t>
        </is>
      </c>
      <c r="H102" s="1" t="n">
        <v>3</v>
      </c>
      <c r="I102" s="1" t="inlineStr">
        <is>
          <t>Fma10uV1m50</t>
        </is>
      </c>
      <c r="J102" s="1" t="inlineStr">
        <is>
          <t>この辺りはタバコを吸っている学生が多いので、先生が厳しく巡回しています。</t>
        </is>
      </c>
      <c r="K102" s="4" t="inlineStr">
        <is>
          <t>KatsuoShuwaDoga</t>
        </is>
      </c>
    </row>
    <row r="103" hidden="1" ht="63" customHeight="1">
      <c r="A103" s="1">
        <f>ROW()-1</f>
        <v/>
      </c>
      <c r="B103" s="1" t="n">
        <v>2023</v>
      </c>
      <c r="C103" s="1" t="n">
        <v>3</v>
      </c>
      <c r="D103" s="1" t="inlineStr">
        <is>
          <t>短文</t>
        </is>
      </c>
      <c r="E103" s="1">
        <f>IF(D103="ストーリー", INT((COUNTIF($D$2:D103, "ストーリー")-1)/3) + 1, "NA")</f>
        <v/>
      </c>
      <c r="F103" s="1" t="inlineStr">
        <is>
          <t>どこに転居しましたか？</t>
        </is>
      </c>
      <c r="G103" s="2" t="inlineStr">
        <is>
          <t>1. 札幌
2. 堺
3. 浜松
4. 九州</t>
        </is>
      </c>
      <c r="H103" s="1" t="n">
        <v>2</v>
      </c>
      <c r="I103" s="1" t="inlineStr">
        <is>
          <t>OUbNWhz1D1Q</t>
        </is>
      </c>
      <c r="J103" s="1" t="inlineStr">
        <is>
          <t>私は2年前に堺に引っ越して釣りを始めました。ウナギは釣れます。でも、鯛は釣れませんね。</t>
        </is>
      </c>
      <c r="K103" s="4" t="inlineStr">
        <is>
          <t>KatsuoShuwaDoga</t>
        </is>
      </c>
    </row>
    <row r="104" hidden="1" ht="63" customHeight="1">
      <c r="A104" s="1">
        <f>ROW()-1</f>
        <v/>
      </c>
      <c r="B104" s="1" t="n">
        <v>2023</v>
      </c>
      <c r="C104" s="1" t="n">
        <v>3</v>
      </c>
      <c r="D104" s="1" t="inlineStr">
        <is>
          <t>短文</t>
        </is>
      </c>
      <c r="E104" s="1">
        <f>IF(D104="ストーリー", INT((COUNTIF($D$2:D104, "ストーリー")-1)/3) + 1, "NA")</f>
        <v/>
      </c>
      <c r="F104" s="1" t="inlineStr">
        <is>
          <t>なぜ心配なのですか？</t>
        </is>
      </c>
      <c r="G104" s="2" t="inlineStr">
        <is>
          <t>1. 水不足
2. コメ不足
3. 電力不足
4. 少子高齢化</t>
        </is>
      </c>
      <c r="H104" s="1" t="n">
        <v>3</v>
      </c>
      <c r="I104" s="1" t="inlineStr">
        <is>
          <t>WMI7_BmdK-U</t>
        </is>
      </c>
      <c r="J104" s="1" t="inlineStr">
        <is>
          <t>今年の夏は電力不足が心配です。汗が少しくらいであれば扇風機で構いません。我慢します。</t>
        </is>
      </c>
      <c r="K104" s="4" t="inlineStr">
        <is>
          <t>KatsuoShuwaDoga</t>
        </is>
      </c>
    </row>
    <row r="105" hidden="1" ht="63" customHeight="1">
      <c r="A105" s="1">
        <f>ROW()-1</f>
        <v/>
      </c>
      <c r="B105" s="1" t="n">
        <v>2023</v>
      </c>
      <c r="C105" s="1" t="n">
        <v>3</v>
      </c>
      <c r="D105" s="1" t="inlineStr">
        <is>
          <t>短文</t>
        </is>
      </c>
      <c r="E105" s="1">
        <f>IF(D105="ストーリー", INT((COUNTIF($D$2:D105, "ストーリー")-1)/3) + 1, "NA")</f>
        <v/>
      </c>
      <c r="F105" s="1" t="inlineStr">
        <is>
          <t>気温のことをどう思っていますか？</t>
        </is>
      </c>
      <c r="G105" s="2" t="inlineStr">
        <is>
          <t>1. 我慢できる
2. 悲しい
3. 落ち着く
4. 腹が立つ</t>
        </is>
      </c>
      <c r="H105" s="1" t="n">
        <v>1</v>
      </c>
      <c r="I105" s="1" t="inlineStr">
        <is>
          <t>WMI7_BmdK-U</t>
        </is>
      </c>
      <c r="J105" s="1" t="inlineStr">
        <is>
          <t>今年の夏は電力不足が心配です。汗が少しくらいであれば扇風機で構いません。我慢します。</t>
        </is>
      </c>
      <c r="K105" s="4" t="inlineStr">
        <is>
          <t>KatsuoShuwaDoga</t>
        </is>
      </c>
    </row>
    <row r="106" hidden="1" ht="63" customHeight="1">
      <c r="A106" s="1">
        <f>ROW()-1</f>
        <v/>
      </c>
      <c r="B106" s="1" t="n">
        <v>2023</v>
      </c>
      <c r="C106" s="1" t="n">
        <v>2</v>
      </c>
      <c r="D106" s="1" t="inlineStr">
        <is>
          <t>基本単語</t>
        </is>
      </c>
      <c r="E106" s="1">
        <f>IF(D106="ストーリー", INT((COUNTIF($D$2:D106, "ストーリー")-1)/3) + 1, "NA")</f>
        <v/>
      </c>
      <c r="F106" s="1" t="inlineStr">
        <is>
          <t>単語の意味を選択してください。</t>
        </is>
      </c>
      <c r="G106" s="2" t="inlineStr">
        <is>
          <t>1. エネルギー
2. サロン
3. ワークショップ
4. カナダ</t>
        </is>
      </c>
      <c r="H106" s="1" t="n">
        <v>2</v>
      </c>
      <c r="I106" s="1" t="inlineStr">
        <is>
          <t>477CnNM-EiE</t>
        </is>
      </c>
      <c r="J106" s="2" t="inlineStr">
        <is>
          <t>集団やイベントなどはこのように円を描くようにして表現されることがある。
この手話の場合は指文字の「サ」あるいは「S」で集団を描くことが由来とされる。</t>
        </is>
      </c>
      <c r="K106" s="4" t="inlineStr">
        <is>
          <t>KatsuoShuwaDoga</t>
        </is>
      </c>
    </row>
    <row r="107" hidden="1" ht="63" customHeight="1">
      <c r="A107" s="1">
        <f>ROW()-1</f>
        <v/>
      </c>
      <c r="B107" s="1" t="n">
        <v>2023</v>
      </c>
      <c r="C107" s="1" t="n">
        <v>2</v>
      </c>
      <c r="D107" s="1" t="inlineStr">
        <is>
          <t>基本単語</t>
        </is>
      </c>
      <c r="E107" s="1">
        <f>IF(D107="ストーリー", INT((COUNTIF($D$2:D107, "ストーリー")-1)/3) + 1, "NA")</f>
        <v/>
      </c>
      <c r="F107" s="1" t="inlineStr">
        <is>
          <t>単語の意味を選択してください。</t>
        </is>
      </c>
      <c r="G107" s="2" t="inlineStr">
        <is>
          <t>1. 会長
2. 室長
3. 議長
4. 部長</t>
        </is>
      </c>
      <c r="H107" s="1" t="n">
        <v>1</v>
      </c>
      <c r="I107" s="1" t="inlineStr">
        <is>
          <t>vfL5HXL5508</t>
        </is>
      </c>
      <c r="J107" s="1" t="inlineStr">
        <is>
          <t>【会】＋【長】。</t>
        </is>
      </c>
      <c r="K107" s="4" t="inlineStr">
        <is>
          <t>KatsuoShuwaDoga</t>
        </is>
      </c>
    </row>
    <row r="108" hidden="1" ht="63" customHeight="1">
      <c r="A108" s="1">
        <f>ROW()-1</f>
        <v/>
      </c>
      <c r="B108" s="1" t="n">
        <v>2023</v>
      </c>
      <c r="C108" s="1" t="n">
        <v>2</v>
      </c>
      <c r="D108" s="1" t="inlineStr">
        <is>
          <t>基本単語</t>
        </is>
      </c>
      <c r="E108" s="1">
        <f>IF(D108="ストーリー", INT((COUNTIF($D$2:D108, "ストーリー")-1)/3) + 1, "NA")</f>
        <v/>
      </c>
      <c r="F108" s="1" t="inlineStr">
        <is>
          <t>単語の意味を選択してください。</t>
        </is>
      </c>
      <c r="G108" s="2" t="inlineStr">
        <is>
          <t>1. そろそろ
2. いよいよ
3. そのまま
4. そのうち</t>
        </is>
      </c>
      <c r="H108" s="1" t="n">
        <v>3</v>
      </c>
      <c r="I108" s="1" t="inlineStr">
        <is>
          <t>GTM09qXrFTI</t>
        </is>
      </c>
      <c r="J108" s="1" t="inlineStr">
        <is>
          <t>直前に表現したものの状態が変わらないことを意味する。</t>
        </is>
      </c>
      <c r="K108" s="4" t="inlineStr">
        <is>
          <t>KatsuoShuwaDoga</t>
        </is>
      </c>
    </row>
    <row r="109" hidden="1" ht="63" customHeight="1">
      <c r="A109" s="1">
        <f>ROW()-1</f>
        <v/>
      </c>
      <c r="B109" s="1" t="n">
        <v>2023</v>
      </c>
      <c r="C109" s="1" t="n">
        <v>2</v>
      </c>
      <c r="D109" s="1" t="inlineStr">
        <is>
          <t>基本単語</t>
        </is>
      </c>
      <c r="E109" s="1">
        <f>IF(D109="ストーリー", INT((COUNTIF($D$2:D109, "ストーリー")-1)/3) + 1, "NA")</f>
        <v/>
      </c>
      <c r="F109" s="1" t="inlineStr">
        <is>
          <t>単語の意味を選択してください。</t>
        </is>
      </c>
      <c r="G109" s="2" t="inlineStr">
        <is>
          <t>1. 私立
2. 個性
3. 公立
4. 比率</t>
        </is>
      </c>
      <c r="H109" s="1" t="n">
        <v>4</v>
      </c>
      <c r="I109" s="1" t="inlineStr">
        <is>
          <t>As818Epf1b8</t>
        </is>
      </c>
      <c r="J109" s="1" t="inlineStr">
        <is>
          <t>グラフのパラメータが上下しているイメージをすると分かりやすい。</t>
        </is>
      </c>
      <c r="K109" s="4" t="inlineStr">
        <is>
          <t>KatsuoShuwaDoga</t>
        </is>
      </c>
    </row>
    <row r="110" hidden="1" ht="63" customHeight="1">
      <c r="A110" s="1">
        <f>ROW()-1</f>
        <v/>
      </c>
      <c r="B110" s="1" t="n">
        <v>2023</v>
      </c>
      <c r="C110" s="1" t="n">
        <v>2</v>
      </c>
      <c r="D110" s="1" t="inlineStr">
        <is>
          <t>ストーリー</t>
        </is>
      </c>
      <c r="E110" s="1">
        <f>IF(D110="ストーリー", INT((COUNTIF($D$2:D110, "ストーリー")-1)/3) + 1, "NA")</f>
        <v/>
      </c>
      <c r="F110" s="2" t="inlineStr">
        <is>
          <t>私の仕事は何ですか？</t>
        </is>
      </c>
      <c r="G110" s="2" t="inlineStr">
        <is>
          <t>1. 保育士
2. ホームヘルパー
3. 介護福祉士
4. 看護師</t>
        </is>
      </c>
      <c r="H110" s="1" t="n">
        <v>1</v>
      </c>
      <c r="I110" s="1" t="inlineStr">
        <is>
          <t>qJKt8rfMAIs</t>
        </is>
      </c>
      <c r="J110" s="2" t="inlineStr">
        <is>
          <t>私は保育士の仕事をして2年目になります。ベテランの主任保育士と一緒に3歳児の担当をしています。園児が泣き止まずお手上げの時、彼女に助けてもらうこともあります。仕事でストレスがたまることもありますが、園児が誰にでも優しい子に成長してほしいと願っています。</t>
        </is>
      </c>
      <c r="K110" s="4" t="inlineStr">
        <is>
          <t>KatsuoShuwaDoga</t>
        </is>
      </c>
    </row>
    <row r="111" hidden="1" ht="63" customHeight="1">
      <c r="A111" s="1">
        <f>ROW()-1</f>
        <v/>
      </c>
      <c r="B111" s="1" t="n">
        <v>2023</v>
      </c>
      <c r="C111" s="1" t="n">
        <v>2</v>
      </c>
      <c r="D111" s="1" t="inlineStr">
        <is>
          <t>ストーリー</t>
        </is>
      </c>
      <c r="E111" s="1">
        <f>IF(D111="ストーリー", INT((COUNTIF($D$2:D111, "ストーリー")-1)/3) + 1, "NA")</f>
        <v/>
      </c>
      <c r="F111" s="2" t="inlineStr">
        <is>
          <t>何歳児を担当していますか？</t>
        </is>
      </c>
      <c r="G111" s="2" t="inlineStr">
        <is>
          <t>1. 2歳児
2. 3歳児
3. 4歳児
4. 5歳児</t>
        </is>
      </c>
      <c r="H111" s="1" t="n">
        <v>2</v>
      </c>
      <c r="I111" s="1" t="inlineStr">
        <is>
          <t>qJKt8rfMAIs</t>
        </is>
      </c>
      <c r="J111" s="2" t="inlineStr">
        <is>
          <t>私は保育士の仕事をして2年目になります。ベテランの主任保育士と一緒に3歳児の担当をしています。園児が泣き止まずお手上げの時、彼女に助けてもらうこともあります。仕事でストレスがたまることもありますが、園児が誰にでも優しい子に成長してほしいと願っています。</t>
        </is>
      </c>
      <c r="K111" s="4" t="inlineStr">
        <is>
          <t>KatsuoShuwaDoga</t>
        </is>
      </c>
    </row>
    <row r="112" hidden="1" ht="63" customHeight="1">
      <c r="A112" s="1">
        <f>ROW()-1</f>
        <v/>
      </c>
      <c r="B112" s="1" t="n">
        <v>2023</v>
      </c>
      <c r="C112" s="1" t="n">
        <v>2</v>
      </c>
      <c r="D112" s="1" t="inlineStr">
        <is>
          <t>ストーリー</t>
        </is>
      </c>
      <c r="E112" s="1">
        <f>IF(D112="ストーリー", INT((COUNTIF($D$2:D112, "ストーリー")-1)/3) + 1, "NA")</f>
        <v/>
      </c>
      <c r="F112" s="1" t="inlineStr">
        <is>
          <t>どんな子供になってほしいと思っていますか？</t>
        </is>
      </c>
      <c r="G112" s="2" t="inlineStr">
        <is>
          <t>1. 想像力豊かな子
2. 誰にでも優しい子
3. 明るく元気な子
4. 両親を大切にする子</t>
        </is>
      </c>
      <c r="H112" s="1" t="n">
        <v>2</v>
      </c>
      <c r="I112" s="1" t="inlineStr">
        <is>
          <t>qJKt8rfMAIs</t>
        </is>
      </c>
      <c r="J112" s="2" t="inlineStr">
        <is>
          <t>私は保育士の仕事をして2年目になります。ベテランの主任保育士と一緒に3歳児の担当をしています。園児が泣き止まずお手上げの時、彼女に助けてもらうこともあります。仕事でストレスがたまることもありますが、園児が誰にでも優しい子に成長してほしいと願っています。</t>
        </is>
      </c>
      <c r="K112" s="4" t="inlineStr">
        <is>
          <t>KatsuoShuwaDoga</t>
        </is>
      </c>
    </row>
    <row r="113" hidden="1" ht="63" customHeight="1">
      <c r="A113" s="1">
        <f>ROW()-1</f>
        <v/>
      </c>
      <c r="B113" s="1" t="n">
        <v>2023</v>
      </c>
      <c r="C113" s="1" t="n">
        <v>2</v>
      </c>
      <c r="D113" s="1" t="inlineStr">
        <is>
          <t>ストーリー</t>
        </is>
      </c>
      <c r="E113" s="1">
        <f>IF(D113="ストーリー", INT((COUNTIF($D$2:D113, "ストーリー")-1)/3) + 1, "NA")</f>
        <v/>
      </c>
      <c r="F113" s="1" t="inlineStr">
        <is>
          <t>手話サークル会員はどのような年齢層ですか？</t>
        </is>
      </c>
      <c r="G113" s="2" t="inlineStr">
        <is>
          <t>1. 16歳から65歳
2. 19歳から81歳
3. 19歳から72歳
4. 60歳から99歳</t>
        </is>
      </c>
      <c r="H113" s="1" t="n">
        <v>1</v>
      </c>
      <c r="I113" s="1" t="inlineStr">
        <is>
          <t>C_tlA6whLOA</t>
        </is>
      </c>
      <c r="J113" s="2" t="inlineStr">
        <is>
          <t>私が通う手話サークルは会員31人です。会員の年齢層は16歳から65歳と幅広く、毎週火曜日にスポーツ会館で活動しています。今年は思い切って役員を希望して会計を担当しています。会長を支え、組織を強くするために学習方法の見直しなどを努力したいです。</t>
        </is>
      </c>
      <c r="K113" s="4" t="inlineStr">
        <is>
          <t>KatsuoShuwaDoga</t>
        </is>
      </c>
    </row>
    <row r="114" hidden="1" ht="63" customHeight="1">
      <c r="A114" s="1">
        <f>ROW()-1</f>
        <v/>
      </c>
      <c r="B114" s="1" t="n">
        <v>2023</v>
      </c>
      <c r="C114" s="1" t="n">
        <v>2</v>
      </c>
      <c r="D114" s="1" t="inlineStr">
        <is>
          <t>ストーリー</t>
        </is>
      </c>
      <c r="E114" s="1">
        <f>IF(D114="ストーリー", INT((COUNTIF($D$2:D114, "ストーリー")-1)/3) + 1, "NA")</f>
        <v/>
      </c>
      <c r="F114" s="1" t="inlineStr">
        <is>
          <t>活動の場所はどこですか？</t>
        </is>
      </c>
      <c r="G114" s="2" t="inlineStr">
        <is>
          <t>1. 公民館
2. 福祉センター
3. スポーツ会館
4. 居酒屋</t>
        </is>
      </c>
      <c r="H114" s="1" t="n">
        <v>3</v>
      </c>
      <c r="I114" s="1" t="inlineStr">
        <is>
          <t>C_tlA6whLOA</t>
        </is>
      </c>
      <c r="J114" s="2" t="inlineStr">
        <is>
          <t>私が通う手話サークルは会員31人です。会員の年齢層は16歳から65歳と幅広く、毎週火曜日にスポーツ会館で活動しています。今年は思い切って役員を希望して会計を担当しています。会長を支え、組織を強くするために学習方法の見直しなどを努力したいです。</t>
        </is>
      </c>
      <c r="K114" s="4" t="inlineStr">
        <is>
          <t>KatsuoShuwaDoga</t>
        </is>
      </c>
    </row>
    <row r="115" hidden="1" ht="63" customHeight="1">
      <c r="A115" s="1">
        <f>ROW()-1</f>
        <v/>
      </c>
      <c r="B115" s="1" t="n">
        <v>2023</v>
      </c>
      <c r="C115" s="1" t="n">
        <v>2</v>
      </c>
      <c r="D115" s="1" t="inlineStr">
        <is>
          <t>ストーリー</t>
        </is>
      </c>
      <c r="E115" s="1">
        <f>IF(D115="ストーリー", INT((COUNTIF($D$2:D115, "ストーリー")-1)/3) + 1, "NA")</f>
        <v/>
      </c>
      <c r="F115" s="1" t="inlineStr">
        <is>
          <t>サークルの何を見直したいと言っていますか？</t>
        </is>
      </c>
      <c r="G115" s="2" t="inlineStr">
        <is>
          <t>1. 会費
2. 規約
3. 活動日
4. 学習方法</t>
        </is>
      </c>
      <c r="H115" s="1" t="n">
        <v>4</v>
      </c>
      <c r="I115" s="1" t="inlineStr">
        <is>
          <t>C_tlA6whLOA</t>
        </is>
      </c>
      <c r="J115" s="2" t="inlineStr">
        <is>
          <t>私が通う手話サークルは会員31人です。会員の年齢層は16歳から65歳と幅広く、毎週火曜日にスポーツ会館で活動しています。今年は思い切って役員を希望して会計を担当しています。会長を支え、組織を強くするために学習方法の見直しなどを努力したいです。</t>
        </is>
      </c>
      <c r="K115" s="4" t="inlineStr">
        <is>
          <t>KatsuoShuwaDoga</t>
        </is>
      </c>
    </row>
    <row r="116" hidden="1" ht="63" customHeight="1">
      <c r="A116" s="1">
        <f>ROW()-1</f>
        <v/>
      </c>
      <c r="B116" s="1" t="n">
        <v>2023</v>
      </c>
      <c r="C116" s="1" t="n">
        <v>2</v>
      </c>
      <c r="D116" s="1" t="inlineStr">
        <is>
          <t>ストーリー</t>
        </is>
      </c>
      <c r="E116" s="1">
        <f>IF(D116="ストーリー", INT((COUNTIF($D$2:D116, "ストーリー")-1)/3) + 1, "NA")</f>
        <v/>
      </c>
      <c r="F116" s="1" t="inlineStr">
        <is>
          <t>仕事をしている部署はどこですか？</t>
        </is>
      </c>
      <c r="G116" s="2" t="inlineStr">
        <is>
          <t>1. 経理課
2. 営業課
3. 総務課
4. 管理課</t>
        </is>
      </c>
      <c r="H116" s="1" t="n">
        <v>3</v>
      </c>
      <c r="I116" s="1" t="inlineStr">
        <is>
          <t>MIo-ERzh2x4</t>
        </is>
      </c>
      <c r="J116" s="2" t="inlineStr">
        <is>
          <t>私は総務課で働いていて、ダイエットブームがきていると聞きました。私はこれはいいなと思い、ダイエットを始めました。しかし、短期間のダイエットで空腹になり、仕事中に倒れてしまいました。そんな私にも理解のある彼君がいます。</t>
        </is>
      </c>
      <c r="K116" s="4" t="inlineStr">
        <is>
          <t>KatsuoShuwaDoga</t>
        </is>
      </c>
    </row>
    <row r="117" hidden="1" ht="63" customHeight="1">
      <c r="A117" s="1">
        <f>ROW()-1</f>
        <v/>
      </c>
      <c r="B117" s="1" t="n">
        <v>2023</v>
      </c>
      <c r="C117" s="1" t="n">
        <v>2</v>
      </c>
      <c r="D117" s="1" t="inlineStr">
        <is>
          <t>ストーリー</t>
        </is>
      </c>
      <c r="E117" s="1">
        <f>IF(D117="ストーリー", INT((COUNTIF($D$2:D117, "ストーリー")-1)/3) + 1, "NA")</f>
        <v/>
      </c>
      <c r="F117" s="1" t="inlineStr">
        <is>
          <t>ダイエットを始めた理由は何と言っていますか？</t>
        </is>
      </c>
      <c r="G117" s="2" t="inlineStr">
        <is>
          <t>1. 片思いの彼に好かれたいから
2. 太りすぎていたから
3. 痩せないと病気になると言われたから
4. ダイエットブームだから</t>
        </is>
      </c>
      <c r="H117" s="1" t="n">
        <v>4</v>
      </c>
      <c r="I117" s="1" t="inlineStr">
        <is>
          <t>MIo-ERzh2x4</t>
        </is>
      </c>
      <c r="J117" s="2" t="inlineStr">
        <is>
          <t>私は総務課で働いていて、ダイエットブームがきていると聞きました。私はこれはいいなと思い、ダイエットを始めました。しかし、短期間のダイエットで空腹になり、仕事中に倒れてしまいました。そんな私にも理解のある彼君がいます。</t>
        </is>
      </c>
      <c r="K117" s="4" t="inlineStr">
        <is>
          <t>KatsuoShuwaDoga</t>
        </is>
      </c>
    </row>
    <row r="118" hidden="1" ht="63" customHeight="1">
      <c r="A118" s="1">
        <f>ROW()-1</f>
        <v/>
      </c>
      <c r="B118" s="1" t="n">
        <v>2023</v>
      </c>
      <c r="C118" s="1" t="n">
        <v>2</v>
      </c>
      <c r="D118" s="1" t="inlineStr">
        <is>
          <t>ストーリー</t>
        </is>
      </c>
      <c r="E118" s="1">
        <f>IF(D118="ストーリー", INT((COUNTIF($D$2:D118, "ストーリー")-1)/3) + 1, "NA")</f>
        <v/>
      </c>
      <c r="F118" s="1" t="inlineStr">
        <is>
          <t>仕事中に倒れたのはなぜですか？</t>
        </is>
      </c>
      <c r="G118" s="2" t="inlineStr">
        <is>
          <t>1. だるい
2. めまい
3. ダイエット
4. 脳梗塞</t>
        </is>
      </c>
      <c r="H118" s="1" t="n">
        <v>3</v>
      </c>
      <c r="I118" s="1" t="inlineStr">
        <is>
          <t>MIo-ERzh2x4</t>
        </is>
      </c>
      <c r="J118" s="2" t="inlineStr">
        <is>
          <t>私は総務課で働いていて、ダイエットブームがきていると聞きました。私はこれはいいなと思い、ダイエットを始めました。しかし、短期間のダイエットで空腹になり、仕事中に倒れてしまいました。そんな私にも理解のある彼君がいます。</t>
        </is>
      </c>
      <c r="K118" s="4" t="inlineStr">
        <is>
          <t>KatsuoShuwaDoga</t>
        </is>
      </c>
    </row>
    <row r="119" hidden="1" ht="63" customHeight="1">
      <c r="A119" s="1">
        <f>ROW()-1</f>
        <v/>
      </c>
      <c r="B119" s="1" t="n">
        <v>2023</v>
      </c>
      <c r="C119" s="1" t="inlineStr">
        <is>
          <t>準1</t>
        </is>
      </c>
      <c r="D119" s="1" t="inlineStr">
        <is>
          <t>基本単語</t>
        </is>
      </c>
      <c r="E119" s="1">
        <f>IF(D119="ストーリー", INT((COUNTIF($D$2:D119, "ストーリー")-1)/3) + 1, "NA")</f>
        <v/>
      </c>
      <c r="F119" s="1" t="inlineStr">
        <is>
          <t>単語の意味を選択してください。</t>
        </is>
      </c>
      <c r="G119" s="2" t="inlineStr">
        <is>
          <t>1. タイ
2. オホーツク
3. オーストラリア
4. オーストリア</t>
        </is>
      </c>
      <c r="H119" s="1" t="n">
        <v>2</v>
      </c>
      <c r="I119" s="1" t="inlineStr">
        <is>
          <t>JZaGwppaTRI</t>
        </is>
      </c>
      <c r="J119" s="1" t="inlineStr">
        <is>
          <t>恐らく指文字「オ」あるいは英語の「O」と海を合体させた表現。</t>
        </is>
      </c>
      <c r="K119" s="4" t="inlineStr">
        <is>
          <t>KatsuoShuwaDoga</t>
        </is>
      </c>
    </row>
    <row r="120" hidden="1" ht="63" customHeight="1">
      <c r="A120" s="1">
        <f>ROW()-1</f>
        <v/>
      </c>
      <c r="B120" s="1" t="n">
        <v>2023</v>
      </c>
      <c r="C120" s="1" t="inlineStr">
        <is>
          <t>準1</t>
        </is>
      </c>
      <c r="D120" s="1" t="inlineStr">
        <is>
          <t>基本単語</t>
        </is>
      </c>
      <c r="E120" s="1">
        <f>IF(D120="ストーリー", INT((COUNTIF($D$2:D120, "ストーリー")-1)/3) + 1, "NA")</f>
        <v/>
      </c>
      <c r="F120" s="1" t="inlineStr">
        <is>
          <t>単語の意味を選択してください。</t>
        </is>
      </c>
      <c r="G120" s="2" t="inlineStr">
        <is>
          <t>1. 憲法
2. 法律
3. ルール
4. 条例</t>
        </is>
      </c>
      <c r="H120" s="1" t="n">
        <v>1</v>
      </c>
      <c r="I120" s="1" t="inlineStr">
        <is>
          <t>sSJY9YG4HSg</t>
        </is>
      </c>
      <c r="J120" s="1" t="inlineStr">
        <is>
          <t>法の上の法という意味で憲法。ちなみに法という手話自体は裁判長が持っている木槌（ガベル）を表すらしい。</t>
        </is>
      </c>
      <c r="K120" s="4" t="inlineStr">
        <is>
          <t>KatsuoShuwaDoga</t>
        </is>
      </c>
    </row>
    <row r="121" hidden="1" ht="63" customHeight="1">
      <c r="A121" s="1">
        <f>ROW()-1</f>
        <v/>
      </c>
      <c r="B121" s="1" t="n">
        <v>2023</v>
      </c>
      <c r="C121" s="1" t="inlineStr">
        <is>
          <t>準1</t>
        </is>
      </c>
      <c r="D121" s="1" t="inlineStr">
        <is>
          <t>基本単語</t>
        </is>
      </c>
      <c r="E121" s="1">
        <f>IF(D121="ストーリー", INT((COUNTIF($D$2:D121, "ストーリー")-1)/3) + 1, "NA")</f>
        <v/>
      </c>
      <c r="F121" s="1" t="inlineStr">
        <is>
          <t>単語の意味を選択してください。</t>
        </is>
      </c>
      <c r="G121" s="2" t="inlineStr">
        <is>
          <t>1. だます
2. だまされる
3. 発見する
4. 確認する</t>
        </is>
      </c>
      <c r="H121" s="1" t="n">
        <v>4</v>
      </c>
      <c r="I121" s="1" t="inlineStr">
        <is>
          <t>9wrOpKhvT_0</t>
        </is>
      </c>
      <c r="J121" s="1" t="inlineStr">
        <is>
          <t>目を細かく動かすイメージ。第2関節で折り曲げた手の形が案外大事。</t>
        </is>
      </c>
      <c r="K121" s="4" t="inlineStr">
        <is>
          <t>KatsuoShuwaDoga</t>
        </is>
      </c>
    </row>
    <row r="122" hidden="1" ht="63" customHeight="1">
      <c r="A122" s="1">
        <f>ROW()-1</f>
        <v/>
      </c>
      <c r="B122" s="1" t="n">
        <v>2023</v>
      </c>
      <c r="C122" s="1" t="inlineStr">
        <is>
          <t>準1</t>
        </is>
      </c>
      <c r="D122" s="1" t="inlineStr">
        <is>
          <t>基本単語</t>
        </is>
      </c>
      <c r="E122" s="1">
        <f>IF(D122="ストーリー", INT((COUNTIF($D$2:D122, "ストーリー")-1)/3) + 1, "NA")</f>
        <v/>
      </c>
      <c r="F122" s="1" t="inlineStr">
        <is>
          <t>単語の意味を選択してください。</t>
        </is>
      </c>
      <c r="G122" s="2" t="inlineStr">
        <is>
          <t>1. ズルい
2. 大切
3. ショック
4. 参考</t>
        </is>
      </c>
      <c r="H122" s="1" t="n">
        <v>4</v>
      </c>
      <c r="I122" s="1" t="inlineStr">
        <is>
          <t>0CddzxeGNYI</t>
        </is>
      </c>
      <c r="J122" s="1" t="inlineStr">
        <is>
          <t>3本指は「参」の字にある3本線を表しているようだ。</t>
        </is>
      </c>
      <c r="K122" s="4" t="inlineStr">
        <is>
          <t>KatsuoShuwaDoga</t>
        </is>
      </c>
    </row>
    <row r="123" hidden="1" ht="78.75" customHeight="1">
      <c r="A123" s="1">
        <f>ROW()-1</f>
        <v/>
      </c>
      <c r="B123" s="1" t="n">
        <v>2023</v>
      </c>
      <c r="C123" s="1" t="inlineStr">
        <is>
          <t>準1</t>
        </is>
      </c>
      <c r="D123" s="1" t="inlineStr">
        <is>
          <t>ストーリー</t>
        </is>
      </c>
      <c r="E123" s="1">
        <f>IF(D123="ストーリー", INT((COUNTIF($D$2:D123, "ストーリー")-1)/3) + 1, "NA")</f>
        <v/>
      </c>
      <c r="F123" s="1" t="inlineStr">
        <is>
          <t>国会をテレビで見てがっかりしたのはなぜですか？</t>
        </is>
      </c>
      <c r="G123" s="2" t="inlineStr">
        <is>
          <t>1. 居眠りしている議員がいるから
2. 官僚の作った答弁書を読んでいるから
3. スマホでゲームをしているから
4. 大臣へのお世辞が多いから</t>
        </is>
      </c>
      <c r="H123" s="1" t="n">
        <v>2</v>
      </c>
      <c r="I123" s="1" t="inlineStr">
        <is>
          <t>TT4-YspMUe0</t>
        </is>
      </c>
      <c r="J123" s="2" t="inlineStr">
        <is>
          <t>国会をテレビで見て、総理大臣をはじめ、各大臣が答弁するのを見て、すごいな、と感心していたら実際は違いました。答弁は官僚が作っていてそれを読んでいる、と聞いてがっかりしました。国民の税金で給与を得ている国会議員には真剣に景気回復、子ども政策の充実について考えて議論してほしいし、私は1日も早い手話言語法の実現を祈っています。</t>
        </is>
      </c>
      <c r="K123" s="4" t="inlineStr">
        <is>
          <t>KatsuoShuwaDoga</t>
        </is>
      </c>
    </row>
    <row r="124" hidden="1" ht="78.75" customHeight="1">
      <c r="A124" s="1">
        <f>ROW()-1</f>
        <v/>
      </c>
      <c r="B124" s="1" t="n">
        <v>2023</v>
      </c>
      <c r="C124" s="1" t="inlineStr">
        <is>
          <t>準1</t>
        </is>
      </c>
      <c r="D124" s="1" t="inlineStr">
        <is>
          <t>ストーリー</t>
        </is>
      </c>
      <c r="E124" s="1">
        <f>IF(D124="ストーリー", INT((COUNTIF($D$2:D124, "ストーリー")-1)/3) + 1, "NA")</f>
        <v/>
      </c>
      <c r="F124" s="1" t="inlineStr">
        <is>
          <t>何について充実してほしいと言っていますか？</t>
        </is>
      </c>
      <c r="G124" s="2" t="inlineStr">
        <is>
          <t>1. 学費無料化
2. 防衛費
3. コロナ対策
4. 子ども政策</t>
        </is>
      </c>
      <c r="H124" s="1" t="n">
        <v>4</v>
      </c>
      <c r="I124" s="1" t="inlineStr">
        <is>
          <t>TT4-YspMUe0</t>
        </is>
      </c>
      <c r="J124" s="2" t="inlineStr">
        <is>
          <t>国会をテレビで見て、総理大臣をはじめ、各大臣が答弁するのを見て、すごいな、と感心していたら実際は違いました。答弁は官僚が作っていてそれを読んでいる、と聞いてがっかりしました。国民の税金で給与を得ている国会議員には真剣に景気回復、子ども政策の充実について考えて議論してほしいし、私は1日も早い手話言語法の実現を祈っています。</t>
        </is>
      </c>
      <c r="K124" s="4" t="inlineStr">
        <is>
          <t>KatsuoShuwaDoga</t>
        </is>
      </c>
    </row>
    <row r="125" hidden="1" ht="78.75" customHeight="1">
      <c r="A125" s="1">
        <f>ROW()-1</f>
        <v/>
      </c>
      <c r="B125" s="1" t="n">
        <v>2023</v>
      </c>
      <c r="C125" s="1" t="inlineStr">
        <is>
          <t>準1</t>
        </is>
      </c>
      <c r="D125" s="1" t="inlineStr">
        <is>
          <t>ストーリー</t>
        </is>
      </c>
      <c r="E125" s="1">
        <f>IF(D125="ストーリー", INT((COUNTIF($D$2:D125, "ストーリー")-1)/3) + 1, "NA")</f>
        <v/>
      </c>
      <c r="F125" s="1" t="inlineStr">
        <is>
          <t>早期実現を期待しているのは何ですか？</t>
        </is>
      </c>
      <c r="G125" s="2" t="inlineStr">
        <is>
          <t>1. 難聴児の施策に関する法
2. 手話言語法
3. 障害者雇用法
4. 憲法の改正法案</t>
        </is>
      </c>
      <c r="H125" s="1" t="n">
        <v>2</v>
      </c>
      <c r="I125" s="1" t="inlineStr">
        <is>
          <t>TT4-YspMUe0</t>
        </is>
      </c>
      <c r="J125" s="2" t="inlineStr">
        <is>
          <t>国会をテレビで見て、総理大臣をはじめ、各大臣が答弁するのを見て、すごいな、と感心していたら実際は違いました。答弁は官僚が作っていてそれを読んでいる、と聞いてがっかりしました。国民の税金で給与を得ている国会議員には真剣に景気回復、子ども政策の充実について考えて議論してほしいし、私は1日も早い手話言語法の実現を祈っています。</t>
        </is>
      </c>
      <c r="K125" s="4" t="inlineStr">
        <is>
          <t>KatsuoShuwaDoga</t>
        </is>
      </c>
    </row>
    <row r="126" hidden="1" ht="78.75" customHeight="1">
      <c r="A126" s="1">
        <f>ROW()-1</f>
        <v/>
      </c>
      <c r="B126" s="1" t="n">
        <v>2023</v>
      </c>
      <c r="C126" s="1" t="inlineStr">
        <is>
          <t>準1</t>
        </is>
      </c>
      <c r="D126" s="1" t="inlineStr">
        <is>
          <t>ストーリー</t>
        </is>
      </c>
      <c r="E126" s="1">
        <f>IF(D126="ストーリー", INT((COUNTIF($D$2:D126, "ストーリー")-1)/3) + 1, "NA")</f>
        <v/>
      </c>
      <c r="F126" s="1" t="inlineStr">
        <is>
          <t>どんな話題が増えましたか？</t>
        </is>
      </c>
      <c r="G126" s="2" t="inlineStr">
        <is>
          <t>1. 趣味のサークル活動
2. 年金
3. 健康や病気
4. 地域のボランティア活動</t>
        </is>
      </c>
      <c r="H126" s="1" t="n">
        <v>3</v>
      </c>
      <c r="I126" s="1" t="inlineStr">
        <is>
          <t>uK1TB9-6Ov4</t>
        </is>
      </c>
      <c r="J126" s="2" t="inlineStr">
        <is>
          <t>最近は健康や病気を話題にすることが増えました。介護保険などの社会保障の実態、課題についても注目しています。ところで身体が衰えてどんどんとできなくなることが増えていくと思うと不安ですね。しかし、できることがまだまだあると考える心構えが大切だと教わりました。毎日を楽しく生きることを生きがいにして過ごしたいと思います。</t>
        </is>
      </c>
      <c r="K126" s="4" t="inlineStr">
        <is>
          <t>KatsuoShuwaDoga</t>
        </is>
      </c>
    </row>
    <row r="127" hidden="1" ht="78.75" customHeight="1">
      <c r="A127" s="1">
        <f>ROW()-1</f>
        <v/>
      </c>
      <c r="B127" s="1" t="n">
        <v>2023</v>
      </c>
      <c r="C127" s="1" t="inlineStr">
        <is>
          <t>準1</t>
        </is>
      </c>
      <c r="D127" s="1" t="inlineStr">
        <is>
          <t>ストーリー</t>
        </is>
      </c>
      <c r="E127" s="1">
        <f>IF(D127="ストーリー", INT((COUNTIF($D$2:D127, "ストーリー")-1)/3) + 1, "NA")</f>
        <v/>
      </c>
      <c r="F127" s="1" t="inlineStr">
        <is>
          <t>どんなことが不安ですか？</t>
        </is>
      </c>
      <c r="G127" s="2" t="inlineStr">
        <is>
          <t>1. できなくなることが増えてくる
2. たくわえが減ってくる
3. 付き合いが減っていく
4. 手話通訳の依頼が増えていく</t>
        </is>
      </c>
      <c r="H127" s="1" t="n">
        <v>1</v>
      </c>
      <c r="I127" s="1" t="inlineStr">
        <is>
          <t>uK1TB9-6Ov4</t>
        </is>
      </c>
      <c r="J127" s="2" t="inlineStr">
        <is>
          <t>最近は健康や病気を話題にすることが増えました。介護保険などの社会保障の実態、課題についても注目しています。ところで身体が衰えてどんどんとできなくなることが増えていくと思うと不安ですね。しかし、できることがまだまだあると考える心構えが大切だと教わりました。毎日を楽しく生きることを生きがいにして過ごしたいと思います。</t>
        </is>
      </c>
      <c r="K127" s="4" t="inlineStr">
        <is>
          <t>KatsuoShuwaDoga</t>
        </is>
      </c>
    </row>
    <row r="128" hidden="1" ht="78.75" customHeight="1">
      <c r="A128" s="1">
        <f>ROW()-1</f>
        <v/>
      </c>
      <c r="B128" s="1" t="n">
        <v>2023</v>
      </c>
      <c r="C128" s="1" t="inlineStr">
        <is>
          <t>準1</t>
        </is>
      </c>
      <c r="D128" s="1" t="inlineStr">
        <is>
          <t>ストーリー</t>
        </is>
      </c>
      <c r="E128" s="1">
        <f>IF(D128="ストーリー", INT((COUNTIF($D$2:D128, "ストーリー")-1)/3) + 1, "NA")</f>
        <v/>
      </c>
      <c r="F128" s="1" t="inlineStr">
        <is>
          <t>どんな心構えが大切だと言っていますか？</t>
        </is>
      </c>
      <c r="G128" s="2" t="inlineStr">
        <is>
          <t>1. 蓄えを減らさないようにする
2. 付き合いを積極的にする
3. できることがあると考える
4. 終活して覚悟を持っておく</t>
        </is>
      </c>
      <c r="H128" s="1" t="n">
        <v>3</v>
      </c>
      <c r="I128" s="1" t="inlineStr">
        <is>
          <t>uK1TB9-6Ov4</t>
        </is>
      </c>
      <c r="J128" s="2" t="inlineStr">
        <is>
          <t>最近は健康や病気を話題にすることが増えました。介護保険などの社会保障の実態、課題についても注目しています。ところで身体が衰えてどんどんとできなくなることが増えていくと思うと不安ですね。しかし、できることがまだまだあると考える心構えが大切だと教わりました。毎日を楽しく生きることを生きがいにして過ごしたいと思います。</t>
        </is>
      </c>
      <c r="K128" s="4" t="inlineStr">
        <is>
          <t>KatsuoShuwaDoga</t>
        </is>
      </c>
    </row>
    <row r="129" hidden="1" ht="63" customHeight="1">
      <c r="A129" s="1">
        <f>ROW()-1</f>
        <v/>
      </c>
      <c r="B129" s="1" t="n">
        <v>2023</v>
      </c>
      <c r="C129" s="1" t="inlineStr">
        <is>
          <t>準1</t>
        </is>
      </c>
      <c r="D129" s="1" t="inlineStr">
        <is>
          <t>ストーリー</t>
        </is>
      </c>
      <c r="E129" s="1">
        <f>IF(D129="ストーリー", INT((COUNTIF($D$2:D129, "ストーリー")-1)/3) + 1, "NA")</f>
        <v/>
      </c>
      <c r="F129" s="1" t="inlineStr">
        <is>
          <t>私が旅をする方法は何だと言っていますか？</t>
        </is>
      </c>
      <c r="G129" s="2" t="inlineStr">
        <is>
          <t>1. 図書館の本を読む
2. 旅行の体験談を聞く
3. 映画を見る
4. テレビの旅番組を見る</t>
        </is>
      </c>
      <c r="H129" s="1" t="n">
        <v>1</v>
      </c>
      <c r="I129" s="1" t="inlineStr">
        <is>
          <t>cwhIIiWeTUE</t>
        </is>
      </c>
      <c r="J129" s="2" t="inlineStr">
        <is>
          <t>私は旅が大好きです。私の旅の方法は図書館に行って本を読んで旅をイメージします。例えば、江戸時代の城下町に行って団子を食べたり、イタリアに行って教会でお祈りしました。宇宙にもいけます。こんな旅もいいですよね。明日は、フィンランドへ旅したいと思っています。</t>
        </is>
      </c>
      <c r="K129" s="4" t="inlineStr">
        <is>
          <t>KatsuoShuwaDoga</t>
        </is>
      </c>
    </row>
    <row r="130" hidden="1" ht="63" customHeight="1">
      <c r="A130" s="1">
        <f>ROW()-1</f>
        <v/>
      </c>
      <c r="B130" s="1" t="n">
        <v>2023</v>
      </c>
      <c r="C130" s="1" t="inlineStr">
        <is>
          <t>準1</t>
        </is>
      </c>
      <c r="D130" s="1" t="inlineStr">
        <is>
          <t>ストーリー</t>
        </is>
      </c>
      <c r="E130" s="1">
        <f>IF(D130="ストーリー", INT((COUNTIF($D$2:D130, "ストーリー")-1)/3) + 1, "NA")</f>
        <v/>
      </c>
      <c r="F130" s="1" t="inlineStr">
        <is>
          <t>江戸時代、宇宙のほかに言った場所はどこですか？</t>
        </is>
      </c>
      <c r="G130" s="2" t="inlineStr">
        <is>
          <t>1. イギリス
2. イタリア
3. 研究所
4. 地下世界</t>
        </is>
      </c>
      <c r="H130" s="1" t="n">
        <v>2</v>
      </c>
      <c r="I130" s="1" t="inlineStr">
        <is>
          <t>cwhIIiWeTUE</t>
        </is>
      </c>
      <c r="J130" s="2" t="inlineStr">
        <is>
          <t>私は旅が大好きです。私の旅の方法は図書館に行って本を読んで旅をイメージします。例えば、江戸時代の城下町に行って団子を食べたり、イタリアに行って教会でお祈りしました。宇宙にもいけます。こんな旅もいいですよね。明日は、フィンランドへ旅したいと思っています。</t>
        </is>
      </c>
      <c r="K130" s="4" t="inlineStr">
        <is>
          <t>KatsuoShuwaDoga</t>
        </is>
      </c>
    </row>
    <row r="131" hidden="1" ht="63" customHeight="1">
      <c r="A131" s="1">
        <f>ROW()-1</f>
        <v/>
      </c>
      <c r="B131" s="1" t="n">
        <v>2023</v>
      </c>
      <c r="C131" s="1" t="inlineStr">
        <is>
          <t>準1</t>
        </is>
      </c>
      <c r="D131" s="1" t="inlineStr">
        <is>
          <t>ストーリー</t>
        </is>
      </c>
      <c r="E131" s="1">
        <f>IF(D131="ストーリー", INT((COUNTIF($D$2:D131, "ストーリー")-1)/3) + 1, "NA")</f>
        <v/>
      </c>
      <c r="F131" s="1" t="inlineStr">
        <is>
          <t>明日はどこへ旅したいと言っていますか？</t>
        </is>
      </c>
      <c r="G131" s="2" t="inlineStr">
        <is>
          <t>1. ソウル
2. ハワイ
3. ベトナム
4. フィンランド</t>
        </is>
      </c>
      <c r="H131" s="1" t="n">
        <v>4</v>
      </c>
      <c r="I131" s="1" t="inlineStr">
        <is>
          <t>cwhIIiWeTUE</t>
        </is>
      </c>
      <c r="J131" s="2" t="inlineStr">
        <is>
          <t>私は旅が大好きです。私の旅の方法は図書館に行って本を読んで旅をイメージします。例えば、江戸時代の城下町に行って団子を食べたり、イタリアに行って教会でお祈りしました。宇宙にもいけます。こんな旅もいいですよね。明日は、フィンランドへ旅したいと思っています。</t>
        </is>
      </c>
      <c r="K131" s="4" t="inlineStr">
        <is>
          <t>KatsuoShuwaDoga</t>
        </is>
      </c>
    </row>
    <row r="132" hidden="1" ht="110.25" customHeight="1">
      <c r="A132" s="1">
        <f>ROW()-1</f>
        <v/>
      </c>
      <c r="B132" s="1" t="n">
        <v>2023</v>
      </c>
      <c r="C132" s="1" t="n">
        <v>1</v>
      </c>
      <c r="D132" s="1" t="inlineStr">
        <is>
          <t>ストーリー</t>
        </is>
      </c>
      <c r="E132" s="1">
        <f>IF(D132="ストーリー", INT((COUNTIF($D$2:D132, "ストーリー")-1)/3) + 1, "NA")</f>
        <v/>
      </c>
      <c r="F132" s="1" t="inlineStr">
        <is>
          <t>デフリンピックは初めての大会の時どんな名称でしたか。</t>
        </is>
      </c>
      <c r="G132" s="2" t="inlineStr">
        <is>
          <t>1. パラリンピック
2. 世界ろう者競技大会
3. 国際聴覚障害者競技大会
4. 世界ろう者スポーツ大会</t>
        </is>
      </c>
      <c r="H132" s="1" t="n">
        <v>2</v>
      </c>
      <c r="I132" s="1" t="inlineStr">
        <is>
          <t>WC2rpI75jpw</t>
        </is>
      </c>
      <c r="J132" s="2" t="inlineStr">
        <is>
          <t>2025年11月にデフリンピック第25回夏季大会が東京にて開催されることになりました。1924年にフランスのパリで第1回世界ろう者競技大会が行われてから100年経過して開催される記念の大会となります。デフリンピックという名称は2001年から国際オリンピック委員会の承認を得て使われ始めました。オリンピック、パラリンピックと同じように4年ごとに開催されます。まだまだデフリンピックを知っている人は少ないので、大会をきっかけにろう者や手話の理解が普及し、定着するといいですね。</t>
        </is>
      </c>
      <c r="K132" s="4" t="inlineStr">
        <is>
          <t>KatsuoShuwaDoga</t>
        </is>
      </c>
    </row>
    <row r="133" hidden="1" ht="110.25" customHeight="1">
      <c r="A133" s="1">
        <f>ROW()-1</f>
        <v/>
      </c>
      <c r="B133" s="1" t="n">
        <v>2023</v>
      </c>
      <c r="C133" s="1" t="n">
        <v>1</v>
      </c>
      <c r="D133" s="1" t="inlineStr">
        <is>
          <t>ストーリー</t>
        </is>
      </c>
      <c r="E133" s="1">
        <f>IF(D133="ストーリー", INT((COUNTIF($D$2:D133, "ストーリー")-1)/3) + 1, "NA")</f>
        <v/>
      </c>
      <c r="F133" s="1" t="inlineStr">
        <is>
          <t>東京で開かれるデフリンピックは何回目の大会ですか。</t>
        </is>
      </c>
      <c r="G133" s="2" t="inlineStr">
        <is>
          <t>1. 第15回
2. 第25回
3. 第50回
4. 第100回</t>
        </is>
      </c>
      <c r="H133" s="1" t="n">
        <v>4</v>
      </c>
      <c r="I133" s="1" t="inlineStr">
        <is>
          <t>WC2rpI75jpw</t>
        </is>
      </c>
      <c r="J133" s="2" t="inlineStr">
        <is>
          <t>2025年11月にデフリンピック第25回夏季大会が東京にて開催されることになりました。1924年にフランスのパリで第1回世界ろう者競技大会が行われてから100年経過して開催される記念の大会となります。デフリンピックという名称は2001年から国際オリンピック委員会の承認を得て使われ始めました。オリンピック、パラリンピックと同じように4年ごとに開催されます。まだまだデフリンピックを知っている人は少ないので、大会をきっかけにろう者や手話の理解が普及し、定着するといいですね。</t>
        </is>
      </c>
      <c r="K133" s="4" t="inlineStr">
        <is>
          <t>KatsuoShuwaDoga</t>
        </is>
      </c>
    </row>
    <row r="134" hidden="1" ht="110.25" customHeight="1">
      <c r="A134" s="1">
        <f>ROW()-1</f>
        <v/>
      </c>
      <c r="B134" s="1" t="n">
        <v>2023</v>
      </c>
      <c r="C134" s="1" t="n">
        <v>1</v>
      </c>
      <c r="D134" s="1" t="inlineStr">
        <is>
          <t>ストーリー</t>
        </is>
      </c>
      <c r="E134" s="1">
        <f>IF(D134="ストーリー", INT((COUNTIF($D$2:D134, "ストーリー")-1)/3) + 1, "NA")</f>
        <v/>
      </c>
      <c r="F134" s="1" t="inlineStr">
        <is>
          <t>デフリンピックの開催をきっかけに願っていることは何ですか。</t>
        </is>
      </c>
      <c r="G134" s="2" t="inlineStr">
        <is>
          <t>1. ろう者のスポーツ選手が増えてほしい
2. オリンピックにろう者選手がどんどん出場してほしい
3. ろう者や手話の理解が定着してほしい
4. 手話言語法が制定されてほしい</t>
        </is>
      </c>
      <c r="H134" s="1" t="n">
        <v>3</v>
      </c>
      <c r="I134" s="1" t="inlineStr">
        <is>
          <t>WC2rpI75jpw</t>
        </is>
      </c>
      <c r="J134" s="2" t="inlineStr">
        <is>
          <t>2025年11月にデフリンピック第25回夏季大会が東京にて開催されることになりました。1924年にフランスのパリで第1回世界ろう者競技大会が行われてから100年経過して開催される記念の大会となります。デフリンピックという名称は2001年から国際オリンピック委員会の承認を得て使われ始めました。オリンピック、パラリンピックと同じように4年ごとに開催されます。まだまだデフリンピックを知っている人は少ないので、大会をきっかけにろう者や手話の理解が普及し、定着するといいですね。</t>
        </is>
      </c>
      <c r="K134" s="4" t="inlineStr">
        <is>
          <t>KatsuoShuwaDoga</t>
        </is>
      </c>
    </row>
    <row r="135" hidden="1" ht="126" customHeight="1">
      <c r="A135" s="1">
        <f>ROW()-1</f>
        <v/>
      </c>
      <c r="B135" s="1" t="n">
        <v>2023</v>
      </c>
      <c r="C135" s="1" t="n">
        <v>1</v>
      </c>
      <c r="D135" s="1" t="inlineStr">
        <is>
          <t>ストーリー</t>
        </is>
      </c>
      <c r="E135" s="1">
        <f>IF(D135="ストーリー", INT((COUNTIF($D$2:D135, "ストーリー")-1)/3) + 1, "NA")</f>
        <v/>
      </c>
      <c r="F135" s="1" t="inlineStr">
        <is>
          <t>どんな自治体が増えていると言っていますか？</t>
        </is>
      </c>
      <c r="G135" s="2" t="inlineStr">
        <is>
          <t>1. 手話言語条例を施行する
2. 手話通訳者を設置する
3. 記者会見に手話通訳を付ける
4. 手話祭りを開催する</t>
        </is>
      </c>
      <c r="H135" s="1" t="n">
        <v>1</v>
      </c>
      <c r="I135" s="1" t="inlineStr">
        <is>
          <t>TC46YlLyiHM</t>
        </is>
      </c>
      <c r="J135" s="2" t="inlineStr">
        <is>
          <t>国に手話言語法の制定を求める運動の中で手話言語条例を施行する自治体が増えています。ろう者と手話についての理解を広めるためのパンフレットが配布され、動画も作られています。以前仕事で言った場所でホテルが分からず、案内板を見ていたら突然話しかけられたことがあります。聞こえません、と身振りで答えたらびっくりしたことに手話で、あ、すみません。何かお困りですか？と話されました。えっ、手話分かるの？ホテルが分からないんです。あ、分かりますよ、ご案内しますね。といった具合でした。このように自然に手話で会話できる人が増えてほしいですね。</t>
        </is>
      </c>
      <c r="K135" s="4" t="inlineStr">
        <is>
          <t>KatsuoShuwaDoga</t>
        </is>
      </c>
    </row>
    <row r="136" hidden="1" ht="126" customHeight="1">
      <c r="A136" s="1">
        <f>ROW()-1</f>
        <v/>
      </c>
      <c r="B136" s="1" t="n">
        <v>2023</v>
      </c>
      <c r="C136" s="1" t="n">
        <v>1</v>
      </c>
      <c r="D136" s="1" t="inlineStr">
        <is>
          <t>ストーリー</t>
        </is>
      </c>
      <c r="E136" s="1">
        <f>IF(D136="ストーリー", INT((COUNTIF($D$2:D136, "ストーリー")-1)/3) + 1, "NA")</f>
        <v/>
      </c>
      <c r="F136" s="1" t="inlineStr">
        <is>
          <t>ろう者と手話の理解を広めるため作られているのは何と言っていますか？</t>
        </is>
      </c>
      <c r="G136" s="2" t="inlineStr">
        <is>
          <t>1. 辞書と動画
2. パンフレットと漫画
3. 辞書とホームページ
4. パンフレットと動画</t>
        </is>
      </c>
      <c r="H136" s="1" t="n">
        <v>4</v>
      </c>
      <c r="I136" s="1" t="inlineStr">
        <is>
          <t>TC46YlLyiHM</t>
        </is>
      </c>
      <c r="J136" s="2" t="inlineStr">
        <is>
          <t>国に手話言語法の制定を求める運動の中で手話言語条例を施行する自治体が増えています。ろう者と手話についての理解を広めるためのパンフレットが配布され、動画も作られています。以前仕事で言った場所でホテルが分からず、案内板を見ていたら突然話しかけられたことがあります。聞こえません、と身振りで答えたらびっくりしたことに手話で、あ、すみません。何かお困りですか？と話されました。えっ、手話分かるの？ホテルが分からないんです。あ、分かりますよ、ご案内しますね。といった具合でした。このように自然に手話で会話できる人が増えてほしいですね。</t>
        </is>
      </c>
      <c r="K136" s="4" t="inlineStr">
        <is>
          <t>KatsuoShuwaDoga</t>
        </is>
      </c>
    </row>
    <row r="137" hidden="1" ht="126" customHeight="1">
      <c r="A137" s="1">
        <f>ROW()-1</f>
        <v/>
      </c>
      <c r="B137" s="1" t="n">
        <v>2023</v>
      </c>
      <c r="C137" s="1" t="n">
        <v>1</v>
      </c>
      <c r="D137" s="1" t="inlineStr">
        <is>
          <t>ストーリー</t>
        </is>
      </c>
      <c r="E137" s="1">
        <f>IF(D137="ストーリー", INT((COUNTIF($D$2:D137, "ストーリー")-1)/3) + 1, "NA")</f>
        <v/>
      </c>
      <c r="F137" s="1" t="inlineStr">
        <is>
          <t>聞こえないと答えたらどんな対応をされましたか？</t>
        </is>
      </c>
      <c r="G137" s="2" t="inlineStr">
        <is>
          <t>1. すみませんと言って立ち去った
2. すみませんと言って筆談してくれた
3. すみませんと言って手話を使ってくれた
4. すみませんと言って音声認識アプリを使ってくれた</t>
        </is>
      </c>
      <c r="H137" s="1" t="n">
        <v>3</v>
      </c>
      <c r="I137" s="1" t="inlineStr">
        <is>
          <t>TC46YlLyiHM</t>
        </is>
      </c>
      <c r="J137" s="2" t="inlineStr">
        <is>
          <t>国に手話言語法の制定を求める運動の中で手話言語条例を施行する自治体が増えています。ろう者と手話についての理解を広めるためのパンフレットが配布され、動画も作られています。以前仕事で言った場所でホテルが分からず、案内板を見ていたら突然話しかけられたことがあります。聞こえません、と身振りで答えたらびっくりしたことに手話で、あ、すみません。何かお困りですか？と話されました。えっ、手話分かるの？ホテルが分からないんです。あ、分かりますよ、ご案内しますね。といった具合でした。このように自然に手話で会話できる人が増えてほしいですね。</t>
        </is>
      </c>
      <c r="K137" s="4" t="inlineStr">
        <is>
          <t>KatsuoShuwaDoga</t>
        </is>
      </c>
    </row>
    <row r="138" hidden="1" ht="94.5" customHeight="1">
      <c r="A138" s="1">
        <f>ROW()-1</f>
        <v/>
      </c>
      <c r="B138" s="1" t="n">
        <v>2023</v>
      </c>
      <c r="C138" s="1" t="n">
        <v>1</v>
      </c>
      <c r="D138" s="1" t="inlineStr">
        <is>
          <t>ストーリー</t>
        </is>
      </c>
      <c r="E138" s="1">
        <f>IF(D138="ストーリー", INT((COUNTIF($D$2:D138, "ストーリー")-1)/3) + 1, "NA")</f>
        <v/>
      </c>
      <c r="F138" s="1" t="inlineStr">
        <is>
          <t>どんな意見を出しましたか？</t>
        </is>
      </c>
      <c r="G138" s="2" t="inlineStr">
        <is>
          <t>1. テレビ番組に字幕を付けてほしい
2. 聴覚障害者のために番組を作ってほしい
3. 聞こえる人と同じ情報保障が欲しい
4. 障害者のための情報が欲しい</t>
        </is>
      </c>
      <c r="H138" s="1" t="n">
        <v>3</v>
      </c>
      <c r="I138" s="1" t="inlineStr">
        <is>
          <t>d9ZdFhgDs1M</t>
        </is>
      </c>
      <c r="J138" s="2" t="inlineStr">
        <is>
          <t>行政との協議で聞こえる人と同じ情報が保証されるようにしてほしいと意見を出しました。すると「聴覚障害者が求める情報がどんなものになるのかわからなくて」と言われました。聴覚障害者だからこのような情報が必要ということではなく、聞こえる人が得ている情報と同じ情報を聞こえなくても伝わるようにしてほしいということがなかなか伝わらなかったです。人として平等…ではなく聴者障害者という見方にこだわっていると感じました。</t>
        </is>
      </c>
      <c r="K138" s="4" t="inlineStr">
        <is>
          <t>KatsuoShuwaDoga</t>
        </is>
      </c>
    </row>
    <row r="139" hidden="1" ht="94.5" customHeight="1">
      <c r="A139" s="1">
        <f>ROW()-1</f>
        <v/>
      </c>
      <c r="B139" s="1" t="n">
        <v>2023</v>
      </c>
      <c r="C139" s="1" t="n">
        <v>1</v>
      </c>
      <c r="D139" s="1" t="inlineStr">
        <is>
          <t>ストーリー</t>
        </is>
      </c>
      <c r="E139" s="1">
        <f>IF(D139="ストーリー", INT((COUNTIF($D$2:D139, "ストーリー")-1)/3) + 1, "NA")</f>
        <v/>
      </c>
      <c r="F139" s="1" t="inlineStr">
        <is>
          <t>行政から言われたことは何ですか？</t>
        </is>
      </c>
      <c r="G139" s="2" t="inlineStr">
        <is>
          <t>1. 予算がなくてできない
2. 聴覚障害者が求める情報が分からない
3. 時間がなくてできない
4. 障害者のための情報が欲しい</t>
        </is>
      </c>
      <c r="H139" s="1" t="n">
        <v>2</v>
      </c>
      <c r="I139" s="1" t="inlineStr">
        <is>
          <t>d9ZdFhgDs1M</t>
        </is>
      </c>
      <c r="J139" s="2" t="inlineStr">
        <is>
          <t>行政との協議で聞こえる人と同じ情報が保証されるようにしてほしいと意見を出しました。すると「聴覚障害者が求める情報がどんなものになるのかわからなくて」と言われました。聴覚障害者だからこのような情報が必要ということではなく、聞こえる人が得ている情報と同じ情報を聞こえなくても伝わるようにしてほしいということがなかなか伝わらなかったです。人として平等…ではなく聴者障害者という見方にこだわっていると感じました。</t>
        </is>
      </c>
      <c r="K139" s="4" t="inlineStr">
        <is>
          <t>KatsuoShuwaDoga</t>
        </is>
      </c>
    </row>
    <row r="140" hidden="1" ht="94.5" customHeight="1">
      <c r="A140" s="1">
        <f>ROW()-1</f>
        <v/>
      </c>
      <c r="B140" s="1" t="n">
        <v>2023</v>
      </c>
      <c r="C140" s="1" t="n">
        <v>1</v>
      </c>
      <c r="D140" s="1" t="inlineStr">
        <is>
          <t>ストーリー</t>
        </is>
      </c>
      <c r="E140" s="1">
        <f>IF(D140="ストーリー", INT((COUNTIF($D$2:D140, "ストーリー")-1)/3) + 1, "NA")</f>
        <v/>
      </c>
      <c r="F140" s="1" t="inlineStr">
        <is>
          <t>どういう見方をしていると言っていますか？</t>
        </is>
      </c>
      <c r="G140" s="2" t="inlineStr">
        <is>
          <t>1. 聴覚障害者は外国人という見方
2. 聴覚障害者も人間であるという見方
3. 人として平等ではなく聴覚障害者という見方
4. 人として聴覚障害者も平等という味方</t>
        </is>
      </c>
      <c r="H140" s="1" t="n">
        <v>3</v>
      </c>
      <c r="I140" s="1" t="inlineStr">
        <is>
          <t>d9ZdFhgDs1M</t>
        </is>
      </c>
      <c r="J140" s="2" t="inlineStr">
        <is>
          <t>行政との協議で聞こえる人と同じ情報が保証されるようにしてほしいと意見を出しました。すると「聴覚障害者が求める情報がどんなものになるのかわからなくて」と言われました。聴覚障害者だからこのような情報が必要ということではなく、聞こえる人が得ている情報と同じ情報を聞こえなくても伝わるようにしてほしいということがなかなか伝わらなかったです。人として平等…ではなく聴者障害者という見方にこだわっていると感じました。</t>
        </is>
      </c>
      <c r="K140" s="4" t="inlineStr">
        <is>
          <t>KatsuoShuwaDoga</t>
        </is>
      </c>
    </row>
    <row r="141" ht="63" customHeight="1">
      <c r="A141" s="1">
        <f>ROW()-1</f>
        <v/>
      </c>
      <c r="B141" s="1" t="n">
        <v>2025</v>
      </c>
      <c r="C141" s="1" t="n">
        <v>5</v>
      </c>
      <c r="D141" s="1" t="inlineStr">
        <is>
          <t>基本単語</t>
        </is>
      </c>
      <c r="E141" s="1">
        <f>IF(D141="ストーリー", INT((COUNTIF($D$2:D141, "ストーリー")-1)/3) + 1, "NA")</f>
        <v/>
      </c>
      <c r="F141" s="1" t="inlineStr">
        <is>
          <t>単語の意味を選択してください。</t>
        </is>
      </c>
      <c r="G141" s="8" t="inlineStr">
        <is>
          <t>1. 会う
2. あいさつ
3. 一緒
4. 行く</t>
        </is>
      </c>
      <c r="H141" s="1" t="n">
        <v>1</v>
      </c>
      <c r="I141" s="1" t="inlineStr">
        <is>
          <t>v5zGCihoY18</t>
        </is>
      </c>
      <c r="J141" s="2" t="inlineStr">
        <is>
          <t>【会う】は自分主観で表現するときは利き手側の人差し指を工夫します。
具体的には手の甲を自分側に向けます。</t>
        </is>
      </c>
      <c r="K141" s="1" t="n"/>
    </row>
    <row r="142" ht="63" customHeight="1">
      <c r="A142" s="1">
        <f>ROW()-1</f>
        <v/>
      </c>
      <c r="B142" s="1" t="n">
        <v>2025</v>
      </c>
      <c r="C142" s="1" t="n">
        <v>5</v>
      </c>
      <c r="D142" s="1" t="inlineStr">
        <is>
          <t>基本単語</t>
        </is>
      </c>
      <c r="E142" s="1">
        <f>IF(D142="ストーリー", INT((COUNTIF($D$2:D142, "ストーリー")-1)/3) + 1, "NA")</f>
        <v/>
      </c>
      <c r="F142" s="1" t="inlineStr">
        <is>
          <t>単語の意味を選択してください。</t>
        </is>
      </c>
      <c r="G142" s="8" t="inlineStr">
        <is>
          <t>1. 赤
2. 緑
3. 青
4. 黒</t>
        </is>
      </c>
      <c r="H142" s="1" t="n">
        <v>2</v>
      </c>
      <c r="I142" s="1" t="inlineStr">
        <is>
          <t>Mc3BNEqGszQ</t>
        </is>
      </c>
      <c r="J142" s="2" t="inlineStr">
        <is>
          <t>緑には古い表現があります。それは鼻の下で指を動かすような表現です。これは鼻水の色を表現しているらしいですがさすがにイメージが汚いということで森や植物を表すものに変わったようです。</t>
        </is>
      </c>
      <c r="K142" s="1" t="n"/>
    </row>
    <row r="143" ht="63" customHeight="1">
      <c r="A143" s="1">
        <f>ROW()-1</f>
        <v/>
      </c>
      <c r="B143" s="1" t="n">
        <v>2025</v>
      </c>
      <c r="C143" s="1" t="n">
        <v>5</v>
      </c>
      <c r="D143" s="1" t="inlineStr">
        <is>
          <t>基本単語</t>
        </is>
      </c>
      <c r="E143" s="1">
        <f>IF(D143="ストーリー", INT((COUNTIF($D$2:D143, "ストーリー")-1)/3) + 1, "NA")</f>
        <v/>
      </c>
      <c r="F143" s="1" t="inlineStr">
        <is>
          <t>単語の意味を選択してください。</t>
        </is>
      </c>
      <c r="G143" s="8" t="inlineStr">
        <is>
          <t>1. 浅い
2. 高い
3. 広い
4. 深い</t>
        </is>
      </c>
      <c r="H143" s="1" t="n">
        <v>4</v>
      </c>
      <c r="I143" s="1" t="inlineStr">
        <is>
          <t>c3Pd54uF-4Y</t>
        </is>
      </c>
      <c r="J143" s="2" t="inlineStr">
        <is>
          <t>このほか人差し指を用いる【深い】もあります。【浅い】の逆を表した手話単語かな？</t>
        </is>
      </c>
      <c r="K143" s="1" t="n"/>
    </row>
    <row r="144" ht="63" customHeight="1">
      <c r="A144" s="1">
        <f>ROW()-1</f>
        <v/>
      </c>
      <c r="B144" s="1" t="n">
        <v>2025</v>
      </c>
      <c r="C144" s="1" t="n">
        <v>5</v>
      </c>
      <c r="D144" s="1" t="inlineStr">
        <is>
          <t>基本単語</t>
        </is>
      </c>
      <c r="E144" s="1">
        <f>IF(D144="ストーリー", INT((COUNTIF($D$2:D144, "ストーリー")-1)/3) + 1, "NA")</f>
        <v/>
      </c>
      <c r="F144" s="1" t="inlineStr">
        <is>
          <t>単語の意味を選択してください。</t>
        </is>
      </c>
      <c r="G144" s="8" t="inlineStr">
        <is>
          <t>1. 下手
2. 苦手
3. 上手
4. 上</t>
        </is>
      </c>
      <c r="H144" s="1" t="n">
        <v>3</v>
      </c>
      <c r="I144" s="9" t="inlineStr">
        <is>
          <t>-eAr1bhmANs</t>
        </is>
      </c>
      <c r="J144" s="2" t="inlineStr">
        <is>
          <t>【上手】と【きれい】は結構間違えやすい。</t>
        </is>
      </c>
      <c r="K144" s="1" t="n"/>
    </row>
    <row r="145" ht="63" customHeight="1">
      <c r="A145" s="1">
        <f>ROW()-1</f>
        <v/>
      </c>
      <c r="B145" s="1" t="n">
        <v>2025</v>
      </c>
      <c r="C145" s="1" t="n">
        <v>5</v>
      </c>
      <c r="D145" s="1" t="inlineStr">
        <is>
          <t>基本単語</t>
        </is>
      </c>
      <c r="E145" s="1">
        <f>IF(D145="ストーリー", INT((COUNTIF($D$2:D145, "ストーリー")-1)/3) + 1, "NA")</f>
        <v/>
      </c>
      <c r="F145" s="1" t="inlineStr">
        <is>
          <t>単語の意味を選択してください。</t>
        </is>
      </c>
      <c r="G145" s="8" t="inlineStr">
        <is>
          <t>1. バス
2. 車
3. 自転車
4. 電車</t>
        </is>
      </c>
      <c r="H145" s="1" t="n">
        <v>4</v>
      </c>
      <c r="I145" s="9" t="inlineStr">
        <is>
          <t>x-GIvaEl8EQ</t>
        </is>
      </c>
      <c r="J145" s="2" t="inlineStr">
        <is>
          <t>電車の手話はパンタグラフを表しているらしい。パンタグラフって何？</t>
        </is>
      </c>
      <c r="K145" s="1" t="n"/>
    </row>
    <row r="146" ht="63" customHeight="1">
      <c r="A146" s="1">
        <f>ROW()-1</f>
        <v/>
      </c>
      <c r="B146" s="1" t="n">
        <v>2025</v>
      </c>
      <c r="C146" s="1" t="n">
        <v>5</v>
      </c>
      <c r="D146" s="1" t="inlineStr">
        <is>
          <t>基本単語</t>
        </is>
      </c>
      <c r="E146" s="1">
        <f>IF(D146="ストーリー", INT((COUNTIF($D$2:D146, "ストーリー")-1)/3) + 1, "NA")</f>
        <v/>
      </c>
      <c r="F146" s="1" t="inlineStr">
        <is>
          <t>単語の意味を選択してください。</t>
        </is>
      </c>
      <c r="G146" s="8" t="inlineStr">
        <is>
          <t>1. パン
2. ケーキ
3. クッキー
4. ごはん</t>
        </is>
      </c>
      <c r="H146" s="1" t="n">
        <v>2</v>
      </c>
      <c r="I146" s="9" t="inlineStr">
        <is>
          <t>bSB-knMWvAY</t>
        </is>
      </c>
      <c r="J146" s="2" t="inlineStr">
        <is>
          <t>【ケーキ】と【豆腐】を表し分けない人もいる。</t>
        </is>
      </c>
      <c r="K146" s="1" t="n"/>
    </row>
    <row r="147" ht="63" customHeight="1">
      <c r="A147" s="1">
        <f>ROW()-1</f>
        <v/>
      </c>
      <c r="B147" s="1" t="n">
        <v>2025</v>
      </c>
      <c r="C147" s="1" t="n">
        <v>5</v>
      </c>
      <c r="D147" s="1" t="inlineStr">
        <is>
          <t>基本単語</t>
        </is>
      </c>
      <c r="E147" s="1">
        <f>IF(D147="ストーリー", INT((COUNTIF($D$2:D147, "ストーリー")-1)/3) + 1, "NA")</f>
        <v/>
      </c>
      <c r="F147" s="1" t="inlineStr">
        <is>
          <t>単語の意味を選択してください。</t>
        </is>
      </c>
      <c r="G147" s="8" t="inlineStr">
        <is>
          <t>1. 水
2. コーヒー
3. お茶
4. 牛乳</t>
        </is>
      </c>
      <c r="H147" s="1" t="n">
        <v>2</v>
      </c>
      <c r="I147" s="9" t="inlineStr">
        <is>
          <t>bjIFAwjd3sM</t>
        </is>
      </c>
      <c r="J147" s="2" t="inlineStr">
        <is>
          <t>カップの取っ手を持つ手と、かき混ぜる様子で表現する。</t>
        </is>
      </c>
      <c r="K147" s="1" t="n"/>
    </row>
    <row r="148" ht="63" customHeight="1">
      <c r="A148" s="1">
        <f>ROW()-1</f>
        <v/>
      </c>
      <c r="B148" s="1" t="n">
        <v>2025</v>
      </c>
      <c r="C148" s="1" t="n">
        <v>5</v>
      </c>
      <c r="D148" s="1" t="inlineStr">
        <is>
          <t>基本単語</t>
        </is>
      </c>
      <c r="E148" s="1">
        <f>IF(D148="ストーリー", INT((COUNTIF($D$2:D148, "ストーリー")-1)/3) + 1, "NA")</f>
        <v/>
      </c>
      <c r="F148" s="1" t="inlineStr">
        <is>
          <t>単語の意味を選択してください。</t>
        </is>
      </c>
      <c r="G148" s="8" t="inlineStr">
        <is>
          <t>1. 川
2. オホーツク海
3. 池
4. 海</t>
        </is>
      </c>
      <c r="H148" s="1" t="n">
        <v>3</v>
      </c>
      <c r="I148" s="9" t="inlineStr">
        <is>
          <t>ukOPkFqQ04Y</t>
        </is>
      </c>
      <c r="J148" s="2" t="inlineStr">
        <is>
          <t>菰池という池に思い入れがあります。</t>
        </is>
      </c>
      <c r="K148" s="1" t="n"/>
    </row>
    <row r="149" ht="63" customHeight="1">
      <c r="A149" s="1">
        <f>ROW()-1</f>
        <v/>
      </c>
      <c r="B149" s="1" t="n">
        <v>2025</v>
      </c>
      <c r="C149" s="1" t="n">
        <v>5</v>
      </c>
      <c r="D149" s="1" t="inlineStr">
        <is>
          <t>基本単語</t>
        </is>
      </c>
      <c r="E149" s="1">
        <f>IF(D149="ストーリー", INT((COUNTIF($D$2:D149, "ストーリー")-1)/3) + 1, "NA")</f>
        <v/>
      </c>
      <c r="F149" s="1" t="inlineStr">
        <is>
          <t>単語の意味を選択してください。</t>
        </is>
      </c>
      <c r="G149" s="8" t="inlineStr">
        <is>
          <t>1. また明日
2. もう一度
3. 方法
4. こんにちは</t>
        </is>
      </c>
      <c r="H149" s="1" t="n">
        <v>2</v>
      </c>
      <c r="I149" s="9" t="inlineStr">
        <is>
          <t>TfTm8Iprq_w</t>
        </is>
      </c>
      <c r="J149" s="2" t="inlineStr">
        <is>
          <t>初心者必須の表現。あごから指を弾くような表現もあります。</t>
        </is>
      </c>
      <c r="K149" s="1" t="n"/>
    </row>
    <row r="150" ht="63" customHeight="1">
      <c r="A150" s="1">
        <f>ROW()-1</f>
        <v/>
      </c>
      <c r="B150" s="1" t="n">
        <v>2025</v>
      </c>
      <c r="C150" s="1" t="n">
        <v>5</v>
      </c>
      <c r="D150" s="1" t="inlineStr">
        <is>
          <t>基本単語</t>
        </is>
      </c>
      <c r="E150" s="1">
        <f>IF(D150="ストーリー", INT((COUNTIF($D$2:D150, "ストーリー")-1)/3) + 1, "NA")</f>
        <v/>
      </c>
      <c r="F150" s="1" t="inlineStr">
        <is>
          <t>単語の意味を選択してください。</t>
        </is>
      </c>
      <c r="G150" s="8" t="inlineStr">
        <is>
          <t>1. すこし
2. とても
3. あまり
4. ぜんぜん</t>
        </is>
      </c>
      <c r="H150" s="1" t="n">
        <v>2</v>
      </c>
      <c r="I150" s="9" t="inlineStr">
        <is>
          <t>SDxbV4Y4Gwo</t>
        </is>
      </c>
      <c r="J150" s="2" t="inlineStr">
        <is>
          <t>これもパラメータの増大みたいなものを表しているように見える。</t>
        </is>
      </c>
      <c r="K150" s="1" t="n"/>
    </row>
    <row r="151" ht="63" customHeight="1">
      <c r="A151" s="1">
        <f>ROW()-1</f>
        <v/>
      </c>
      <c r="B151" s="1" t="n">
        <v>2025</v>
      </c>
      <c r="C151" s="1" t="n">
        <v>5</v>
      </c>
      <c r="D151" s="1" t="inlineStr">
        <is>
          <t>基本単語</t>
        </is>
      </c>
      <c r="E151" s="1">
        <f>IF(D151="ストーリー", INT((COUNTIF($D$2:D151, "ストーリー")-1)/3) + 1, "NA")</f>
        <v/>
      </c>
      <c r="F151" s="1" t="inlineStr">
        <is>
          <t>単語の意味を選択してください。</t>
        </is>
      </c>
      <c r="G151" s="8" t="inlineStr">
        <is>
          <t>1. 卓球
2. 野球
3. サッカー
4. バレー</t>
        </is>
      </c>
      <c r="H151" s="1" t="n">
        <v>1</v>
      </c>
      <c r="I151" s="9" t="inlineStr">
        <is>
          <t>xS5EDvIWEyM</t>
        </is>
      </c>
      <c r="J151" s="2" t="inlineStr">
        <is>
          <t>球のほうだけの片手で表現する方法もあります。</t>
        </is>
      </c>
      <c r="K151" s="1" t="n"/>
    </row>
    <row r="152" ht="63" customHeight="1">
      <c r="A152" s="1">
        <f>ROW()-1</f>
        <v/>
      </c>
      <c r="B152" s="1" t="n">
        <v>2025</v>
      </c>
      <c r="C152" s="1" t="n">
        <v>5</v>
      </c>
      <c r="D152" s="1" t="inlineStr">
        <is>
          <t>基本単語</t>
        </is>
      </c>
      <c r="E152" s="1">
        <f>IF(D152="ストーリー", INT((COUNTIF($D$2:D152, "ストーリー")-1)/3) + 1, "NA")</f>
        <v/>
      </c>
      <c r="F152" s="1" t="inlineStr">
        <is>
          <t>単語の意味を選択してください。</t>
        </is>
      </c>
      <c r="G152" s="8" t="inlineStr">
        <is>
          <t>1. あう
2. ちがう
3. たべる
4. しごと</t>
        </is>
      </c>
      <c r="H152" s="1" t="n">
        <v>2</v>
      </c>
      <c r="I152" s="9" t="inlineStr">
        <is>
          <t>3B0G_nqSKd0</t>
        </is>
      </c>
      <c r="J152" s="2" t="inlineStr">
        <is>
          <t>応用が効く表現なのでぜひ覚えたいもののうちの1つ。</t>
        </is>
      </c>
      <c r="K152" s="1" t="n"/>
    </row>
    <row r="153" ht="63" customHeight="1">
      <c r="A153" s="1">
        <f>ROW()-1</f>
        <v/>
      </c>
      <c r="B153" s="1" t="n">
        <v>2025</v>
      </c>
      <c r="C153" s="1" t="n">
        <v>5</v>
      </c>
      <c r="D153" s="1" t="inlineStr">
        <is>
          <t>基本単語</t>
        </is>
      </c>
      <c r="E153" s="1">
        <f>IF(D153="ストーリー", INT((COUNTIF($D$2:D153, "ストーリー")-1)/3) + 1, "NA")</f>
        <v/>
      </c>
      <c r="F153" s="1" t="inlineStr">
        <is>
          <t>単語の意味を選択してください。</t>
        </is>
      </c>
      <c r="G153" s="8" t="inlineStr">
        <is>
          <t>1. 犬
2. 虫
3. 猫
4. 鳥</t>
        </is>
      </c>
      <c r="H153" s="1" t="n">
        <v>2</v>
      </c>
      <c r="I153" s="9" t="inlineStr">
        <is>
          <t>LrYL5nzTZJE</t>
        </is>
      </c>
      <c r="J153" s="2" t="inlineStr">
        <is>
          <t>ウイルスという表現の一部でも登場することがある。</t>
        </is>
      </c>
      <c r="K153" s="1" t="n"/>
    </row>
    <row r="154" ht="63" customHeight="1">
      <c r="A154" s="1">
        <f>ROW()-1</f>
        <v/>
      </c>
      <c r="B154" s="1" t="n">
        <v>2025</v>
      </c>
      <c r="C154" s="1" t="n">
        <v>5</v>
      </c>
      <c r="D154" s="1" t="inlineStr">
        <is>
          <t>基本単語</t>
        </is>
      </c>
      <c r="E154" s="1">
        <f>IF(D154="ストーリー", INT((COUNTIF($D$2:D154, "ストーリー")-1)/3) + 1, "NA")</f>
        <v/>
      </c>
      <c r="F154" s="1" t="inlineStr">
        <is>
          <t>単語の意味を選択してください。</t>
        </is>
      </c>
      <c r="G154" s="8" t="inlineStr">
        <is>
          <t>1. 強い
2. 弱い
3. 元気
4. 大きい</t>
        </is>
      </c>
      <c r="H154" s="1" t="n">
        <v>2</v>
      </c>
      <c r="I154" s="9" t="inlineStr">
        <is>
          <t>CV0uCeFjXYU</t>
        </is>
      </c>
      <c r="J154" s="2" t="inlineStr">
        <is>
          <t>因みに教本から参照できる映像ではこぶしの向きが逆になっていました。</t>
        </is>
      </c>
      <c r="K154" s="1" t="n"/>
    </row>
    <row r="155" ht="63" customHeight="1">
      <c r="A155" s="1">
        <f>ROW()-1</f>
        <v/>
      </c>
      <c r="B155" s="1" t="n">
        <v>2025</v>
      </c>
      <c r="C155" s="1" t="n">
        <v>5</v>
      </c>
      <c r="D155" s="1" t="inlineStr">
        <is>
          <t>基本単語</t>
        </is>
      </c>
      <c r="E155" s="1">
        <f>IF(D155="ストーリー", INT((COUNTIF($D$2:D155, "ストーリー")-1)/3) + 1, "NA")</f>
        <v/>
      </c>
      <c r="F155" s="1" t="inlineStr">
        <is>
          <t>単語の意味を選択してください。</t>
        </is>
      </c>
      <c r="G155" s="8" t="inlineStr">
        <is>
          <t>1. 言う
2. 話す
3. 聞く
4. 読む</t>
        </is>
      </c>
      <c r="H155" s="1" t="n">
        <v>1</v>
      </c>
      <c r="I155" s="9" t="inlineStr">
        <is>
          <t>VVW9lq0Ild0</t>
        </is>
      </c>
      <c r="J155" s="2" t="inlineStr">
        <is>
          <t>手話【言う】にはたくさんの表現があるので注意。動画でも考えています。</t>
        </is>
      </c>
      <c r="K155" s="1" t="n"/>
    </row>
    <row r="156" ht="63" customHeight="1">
      <c r="A156" s="1">
        <f>ROW()-1</f>
        <v/>
      </c>
      <c r="B156" s="1" t="n">
        <v>2025</v>
      </c>
      <c r="C156" s="1" t="n">
        <v>5</v>
      </c>
      <c r="D156" s="1" t="inlineStr">
        <is>
          <t>基本単語</t>
        </is>
      </c>
      <c r="E156" s="1">
        <f>IF(D156="ストーリー", INT((COUNTIF($D$2:D156, "ストーリー")-1)/3) + 1, "NA")</f>
        <v/>
      </c>
      <c r="F156" s="1" t="inlineStr">
        <is>
          <t>単語の意味を選択してください。</t>
        </is>
      </c>
      <c r="G156" s="8" t="inlineStr">
        <is>
          <t>1. こんにちは
2. こんばんは
3. おはよう
4. さようなら</t>
        </is>
      </c>
      <c r="H156" s="1" t="n">
        <v>2</v>
      </c>
      <c r="I156" s="9" t="inlineStr">
        <is>
          <t>Uxzd3enyIg8</t>
        </is>
      </c>
      <c r="J156" s="2" t="inlineStr">
        <is>
          <t>因みに教本から参照できる映像では【挨拶】の部分が【ください】になっていた。初めて見た。</t>
        </is>
      </c>
      <c r="K156" s="1" t="n"/>
    </row>
    <row r="157" ht="63" customHeight="1">
      <c r="A157" s="1">
        <f>ROW()-1</f>
        <v/>
      </c>
      <c r="B157" s="1" t="n">
        <v>2025</v>
      </c>
      <c r="C157" s="1" t="n">
        <v>5</v>
      </c>
      <c r="D157" s="1" t="inlineStr">
        <is>
          <t>基本単語</t>
        </is>
      </c>
      <c r="E157" s="1">
        <f>IF(D157="ストーリー", INT((COUNTIF($D$2:D157, "ストーリー")-1)/3) + 1, "NA")</f>
        <v/>
      </c>
      <c r="F157" s="1" t="inlineStr">
        <is>
          <t>単語の意味を選択してください。</t>
        </is>
      </c>
      <c r="G157" s="8" t="inlineStr">
        <is>
          <t>1. ダイエット
2. 安心
3. 危険
4. 不安</t>
        </is>
      </c>
      <c r="H157" s="1" t="n">
        <v>2</v>
      </c>
      <c r="I157" s="9" t="inlineStr">
        <is>
          <t>FDbx6jm6W6k</t>
        </is>
      </c>
      <c r="J157" s="2" t="inlineStr">
        <is>
          <t>心を落ち着かせている。これをバタバタさせることで【焦る】に変化。</t>
        </is>
      </c>
      <c r="K157" s="1" t="n"/>
    </row>
    <row r="158" ht="63" customHeight="1">
      <c r="A158" s="1">
        <f>ROW()-1</f>
        <v/>
      </c>
      <c r="B158" s="1" t="n">
        <v>2025</v>
      </c>
      <c r="C158" s="1" t="n">
        <v>5</v>
      </c>
      <c r="D158" s="1" t="inlineStr">
        <is>
          <t>基本単語</t>
        </is>
      </c>
      <c r="E158" s="1">
        <f>IF(D158="ストーリー", INT((COUNTIF($D$2:D158, "ストーリー")-1)/3) + 1, "NA")</f>
        <v/>
      </c>
      <c r="F158" s="1" t="inlineStr">
        <is>
          <t>単語の意味を選択してください。</t>
        </is>
      </c>
      <c r="G158" s="8" t="inlineStr">
        <is>
          <t>1. 休けい
2. ごはん
3. 遊び
4. 授業</t>
        </is>
      </c>
      <c r="H158" s="1" t="n">
        <v>1</v>
      </c>
      <c r="I158" s="9" t="inlineStr">
        <is>
          <t>Y3hQxs3BWaM</t>
        </is>
      </c>
      <c r="J158" s="2" t="inlineStr">
        <is>
          <t>因みに教本から参照できる映像ではこの表現の後に【休み】の手話を挿入していた。必要なのだろうか。</t>
        </is>
      </c>
      <c r="K158" s="1" t="n"/>
    </row>
    <row r="159" ht="63" customHeight="1">
      <c r="A159" s="1">
        <f>ROW()-1</f>
        <v/>
      </c>
      <c r="B159" s="1" t="n">
        <v>2025</v>
      </c>
      <c r="C159" s="1" t="n">
        <v>5</v>
      </c>
      <c r="D159" s="1" t="inlineStr">
        <is>
          <t>基本単語</t>
        </is>
      </c>
      <c r="E159" s="1">
        <f>IF(D159="ストーリー", INT((COUNTIF($D$2:D159, "ストーリー")-1)/3) + 1, "NA")</f>
        <v/>
      </c>
      <c r="F159" s="1" t="inlineStr">
        <is>
          <t>単語の意味を選択してください。</t>
        </is>
      </c>
      <c r="G159" s="8" t="inlineStr">
        <is>
          <t>1. 近い
2. 遠い
3. 長い
4. 広い</t>
        </is>
      </c>
      <c r="H159" s="1" t="n">
        <v>2</v>
      </c>
      <c r="I159" s="9" t="inlineStr">
        <is>
          <t>y0v9gSSo8Ew</t>
        </is>
      </c>
      <c r="J159" s="2" t="inlineStr">
        <is>
          <t>【遠い】単体の手話表現。このほか【近い】の逆で表す方法もある。</t>
        </is>
      </c>
      <c r="K159" s="1" t="n"/>
    </row>
    <row r="160" ht="63" customHeight="1">
      <c r="A160" s="1">
        <f>ROW()-1</f>
        <v/>
      </c>
      <c r="B160" s="1" t="n">
        <v>2025</v>
      </c>
      <c r="C160" s="1" t="n">
        <v>5</v>
      </c>
      <c r="D160" s="1" t="inlineStr">
        <is>
          <t>基本単語</t>
        </is>
      </c>
      <c r="E160" s="1">
        <f>IF(D160="ストーリー", INT((COUNTIF($D$2:D160, "ストーリー")-1)/3) + 1, "NA")</f>
        <v/>
      </c>
      <c r="F160" s="1" t="inlineStr">
        <is>
          <t>単語の意味を選択してください。</t>
        </is>
      </c>
      <c r="G160" s="8" t="inlineStr">
        <is>
          <t>1. 14
2. 15
3. 16
4. 17</t>
        </is>
      </c>
      <c r="H160" s="1" t="n">
        <v>3</v>
      </c>
      <c r="I160" s="9" t="inlineStr">
        <is>
          <t>PGlzOMPEjYI</t>
        </is>
      </c>
      <c r="J160" s="2" t="inlineStr">
        <is>
          <t>手話検定の5級には数字が1回は出てくるのかな？</t>
        </is>
      </c>
      <c r="K160" s="1" t="n"/>
    </row>
    <row r="161" ht="63" customHeight="1">
      <c r="A161" s="1">
        <f>ROW()-1</f>
        <v/>
      </c>
      <c r="B161" s="1" t="n">
        <v>2025</v>
      </c>
      <c r="C161" s="1" t="n">
        <v>5</v>
      </c>
      <c r="D161" s="1" t="inlineStr">
        <is>
          <t>基本単語</t>
        </is>
      </c>
      <c r="E161" s="1">
        <f>IF(D161="ストーリー", INT((COUNTIF($D$2:D161, "ストーリー")-1)/3) + 1, "NA")</f>
        <v/>
      </c>
      <c r="F161" s="1" t="inlineStr">
        <is>
          <t>単語の意味を選択してください。</t>
        </is>
      </c>
      <c r="G161" s="8" t="inlineStr">
        <is>
          <t>1. 村
2. 街
3. 土
4. 森</t>
        </is>
      </c>
      <c r="H161" s="1" t="n">
        <v>1</v>
      </c>
      <c r="I161" s="9" t="inlineStr">
        <is>
          <t>watpO2okDNg</t>
        </is>
      </c>
      <c r="J161" s="2" t="inlineStr">
        <is>
          <t>この表現は畑を耕す様子だが、ほかにも鼻の辺りで手を動かすような表現もある。これは鼻水を拭く様子で【田舎】という手話だがあまりにもイメージが悪いということであまり用いられていない。</t>
        </is>
      </c>
      <c r="K161" s="1" t="n"/>
    </row>
    <row r="162" ht="63" customHeight="1">
      <c r="A162" s="1">
        <f>ROW()-1</f>
        <v/>
      </c>
      <c r="B162" s="1" t="n">
        <v>2025</v>
      </c>
      <c r="C162" s="1" t="n">
        <v>5</v>
      </c>
      <c r="D162" s="1" t="inlineStr">
        <is>
          <t>基本単語</t>
        </is>
      </c>
      <c r="E162" s="1">
        <f>IF(D162="ストーリー", INT((COUNTIF($D$2:D162, "ストーリー")-1)/3) + 1, "NA")</f>
        <v/>
      </c>
      <c r="F162" s="1" t="inlineStr">
        <is>
          <t>単語の意味を選択してください。</t>
        </is>
      </c>
      <c r="G162" s="8" t="inlineStr">
        <is>
          <t>1. ファックス
2. 電話
3. メール
4. 手紙</t>
        </is>
      </c>
      <c r="H162" s="1" t="n">
        <v>1</v>
      </c>
      <c r="I162" s="9" t="inlineStr">
        <is>
          <t>7MP9FmLc1h0</t>
        </is>
      </c>
      <c r="J162" s="2" t="inlineStr">
        <is>
          <t>2010年以降に生まれているとそもそもファックスの存在を知らない人もいる。この親指・人差し指を立てる「電話」のジェスチャーも徐々に伝わりづらくなっている。</t>
        </is>
      </c>
      <c r="K162" s="1" t="n"/>
    </row>
    <row r="163" ht="63" customHeight="1">
      <c r="A163" s="1">
        <f>ROW()-1</f>
        <v/>
      </c>
      <c r="B163" s="1" t="n">
        <v>2025</v>
      </c>
      <c r="C163" s="1" t="n">
        <v>5</v>
      </c>
      <c r="D163" s="1" t="inlineStr">
        <is>
          <t>基本単語</t>
        </is>
      </c>
      <c r="E163" s="1">
        <f>IF(D163="ストーリー", INT((COUNTIF($D$2:D163, "ストーリー")-1)/3) + 1, "NA")</f>
        <v/>
      </c>
      <c r="F163" s="1" t="inlineStr">
        <is>
          <t>単語の意味を選択してください。</t>
        </is>
      </c>
      <c r="G163" s="8" t="inlineStr">
        <is>
          <t>1. 恥ずかしい
2. うれしい
3. かなしい
4. たのしい</t>
        </is>
      </c>
      <c r="H163" s="1" t="n">
        <v>1</v>
      </c>
      <c r="I163" s="9" t="inlineStr">
        <is>
          <t>rjDyK3pGgUc</t>
        </is>
      </c>
      <c r="J163" s="2" t="inlineStr">
        <is>
          <t>手話【恥ずかしい】にはほかにも顔の周りで手をすぼめる表現などがある。</t>
        </is>
      </c>
      <c r="K163" s="1" t="n"/>
    </row>
    <row r="164" ht="63" customHeight="1">
      <c r="A164" s="1">
        <f>ROW()-1</f>
        <v/>
      </c>
      <c r="B164" s="1" t="n">
        <v>2025</v>
      </c>
      <c r="C164" s="1" t="n">
        <v>5</v>
      </c>
      <c r="D164" s="1" t="inlineStr">
        <is>
          <t>基本単語</t>
        </is>
      </c>
      <c r="E164" s="1">
        <f>IF(D164="ストーリー", INT((COUNTIF($D$2:D164, "ストーリー")-1)/3) + 1, "NA")</f>
        <v/>
      </c>
      <c r="F164" s="1" t="inlineStr">
        <is>
          <t>単語の意味を選択してください。</t>
        </is>
      </c>
      <c r="G164" s="8" t="inlineStr">
        <is>
          <t>1. 聞こえる
2. 見える
3. 感じる
4. わかる</t>
        </is>
      </c>
      <c r="H164" s="1" t="n">
        <v>1</v>
      </c>
      <c r="I164" s="9" t="inlineStr">
        <is>
          <t>8f-W7HGEAew</t>
        </is>
      </c>
      <c r="J164" s="2" t="inlineStr">
        <is>
          <t>仮に「聴こえる」であれば【聴者】という手話でもよい。</t>
        </is>
      </c>
      <c r="K164" s="1" t="n"/>
    </row>
    <row r="165" ht="63" customHeight="1">
      <c r="A165" s="1">
        <f>ROW()-1</f>
        <v/>
      </c>
      <c r="B165" s="1" t="n">
        <v>2025</v>
      </c>
      <c r="C165" s="1" t="n">
        <v>5</v>
      </c>
      <c r="D165" s="1" t="inlineStr">
        <is>
          <t>基本単語</t>
        </is>
      </c>
      <c r="E165" s="1">
        <f>IF(D165="ストーリー", INT((COUNTIF($D$2:D165, "ストーリー")-1)/3) + 1, "NA")</f>
        <v/>
      </c>
      <c r="F165" s="1" t="inlineStr">
        <is>
          <t>単語の意味を選択してください。</t>
        </is>
      </c>
      <c r="G165" s="8" t="inlineStr">
        <is>
          <t>1. 歩く
2. 走る
3. 飛ぶ
4. 泳ぐ</t>
        </is>
      </c>
      <c r="H165" s="1" t="n">
        <v>1</v>
      </c>
      <c r="I165" s="9" t="inlineStr">
        <is>
          <t>0ZOLM07JPmU</t>
        </is>
      </c>
      <c r="J165" s="2" t="inlineStr">
        <is>
          <t>人差し指と中指は人の足を表している。子供でも分かるような動きだがCLで分かりやすいものの1つではないだろうか。</t>
        </is>
      </c>
      <c r="K165" s="1" t="n"/>
    </row>
    <row r="166" ht="63" customHeight="1">
      <c r="A166" s="1">
        <f>ROW()-1</f>
        <v/>
      </c>
      <c r="B166" s="1" t="n">
        <v>2025</v>
      </c>
      <c r="C166" s="1" t="n">
        <v>5</v>
      </c>
      <c r="D166" s="1" t="inlineStr">
        <is>
          <t>基本単語</t>
        </is>
      </c>
      <c r="E166" s="1">
        <f>IF(D166="ストーリー", INT((COUNTIF($D$2:D166, "ストーリー")-1)/3) + 1, "NA")</f>
        <v/>
      </c>
      <c r="F166" s="1" t="inlineStr">
        <is>
          <t>単語の意味を選択してください。</t>
        </is>
      </c>
      <c r="G166" s="8" t="inlineStr">
        <is>
          <t>1. 出会い
2. 別れ
3. はじまり
4. 終わり</t>
        </is>
      </c>
      <c r="H166" s="1" t="n">
        <v>2</v>
      </c>
      <c r="I166" s="9" t="inlineStr">
        <is>
          <t>oABmwZt3lhY</t>
        </is>
      </c>
      <c r="J166" s="2" t="inlineStr">
        <is>
          <t>見ての通り分類するというようなイメージの「分かれる」だが、恋人と「別れる」というときも表される。</t>
        </is>
      </c>
      <c r="K166" s="1" t="n"/>
    </row>
    <row r="167" ht="63" customHeight="1">
      <c r="A167" s="1">
        <f>ROW()-1</f>
        <v/>
      </c>
      <c r="B167" s="1" t="n">
        <v>2025</v>
      </c>
      <c r="C167" s="1" t="n">
        <v>5</v>
      </c>
      <c r="D167" s="1" t="inlineStr">
        <is>
          <t>基本単語</t>
        </is>
      </c>
      <c r="E167" s="1">
        <f>IF(D167="ストーリー", INT((COUNTIF($D$2:D167, "ストーリー")-1)/3) + 1, "NA")</f>
        <v/>
      </c>
      <c r="F167" s="1" t="inlineStr">
        <is>
          <t>単語の意味を選択してください。</t>
        </is>
      </c>
      <c r="G167" s="8" t="inlineStr">
        <is>
          <t>1. なるほど
2. そうだね
3. すごい
4. いいね</t>
        </is>
      </c>
      <c r="H167" s="1" t="n">
        <v>1</v>
      </c>
      <c r="I167" s="9" t="inlineStr">
        <is>
          <t>fq32BvjHZ0I</t>
        </is>
      </c>
      <c r="J167" s="2" t="inlineStr">
        <is>
          <t>有名な表現だが、なぜこのような手の形を用いているのかはよく分からない。</t>
        </is>
      </c>
      <c r="K167" s="1" t="n"/>
    </row>
    <row r="168" ht="63" customHeight="1">
      <c r="A168" s="1">
        <f>ROW()-1</f>
        <v/>
      </c>
      <c r="B168" s="1" t="n">
        <v>2025</v>
      </c>
      <c r="C168" s="1" t="n">
        <v>5</v>
      </c>
      <c r="D168" s="1" t="inlineStr">
        <is>
          <t>基本単語</t>
        </is>
      </c>
      <c r="E168" s="1">
        <f>IF(D168="ストーリー", INT((COUNTIF($D$2:D168, "ストーリー")-1)/3) + 1, "NA")</f>
        <v/>
      </c>
      <c r="F168" s="1" t="inlineStr">
        <is>
          <t>単語の意味を選択してください。</t>
        </is>
      </c>
      <c r="G168" s="8" t="inlineStr">
        <is>
          <t>1. おいしい
2. まずい
3. たかい
4. やすい</t>
        </is>
      </c>
      <c r="H168" s="1" t="n">
        <v>2</v>
      </c>
      <c r="I168" s="9" t="inlineStr">
        <is>
          <t>I-y1zvKC5sc</t>
        </is>
      </c>
      <c r="J168" s="2" t="inlineStr">
        <is>
          <t>不味すぎて口から吐き出しているイメージ。実際に不味いものを食べると何とも言えない顔になるだけで終わる。</t>
        </is>
      </c>
      <c r="K168" s="1" t="n"/>
    </row>
    <row r="169" ht="63" customHeight="1">
      <c r="A169" s="1">
        <f>ROW()-1</f>
        <v/>
      </c>
      <c r="B169" s="1" t="n">
        <v>2025</v>
      </c>
      <c r="C169" s="1" t="n">
        <v>5</v>
      </c>
      <c r="D169" s="1" t="inlineStr">
        <is>
          <t>基本単語</t>
        </is>
      </c>
      <c r="E169" s="1">
        <f>IF(D169="ストーリー", INT((COUNTIF($D$2:D169, "ストーリー")-1)/3) + 1, "NA")</f>
        <v/>
      </c>
      <c r="F169" s="1" t="inlineStr">
        <is>
          <t>単語の意味を選択してください。</t>
        </is>
      </c>
      <c r="G169" s="8" t="inlineStr">
        <is>
          <t>1. テレビ
2. パソコン
3. ラジオ
4. スマホ</t>
        </is>
      </c>
      <c r="H169" s="1" t="n">
        <v>1</v>
      </c>
      <c r="I169" s="9" t="inlineStr">
        <is>
          <t>hV1S6EmO7Qk</t>
        </is>
      </c>
      <c r="J169" s="2" t="inlineStr">
        <is>
          <t>テレビの走査線を指で表現している。古くはチャンネルを変えるダイヤル操作を表していた。その時代にも優先リモコンなるものはあったらしい。</t>
        </is>
      </c>
      <c r="K169" s="1" t="n"/>
    </row>
    <row r="170" ht="63" customHeight="1">
      <c r="A170" s="1">
        <f>ROW()-1</f>
        <v/>
      </c>
      <c r="B170" s="1" t="n">
        <v>2025</v>
      </c>
      <c r="C170" s="1" t="n">
        <v>5</v>
      </c>
      <c r="D170" s="1" t="inlineStr">
        <is>
          <t>基本単語</t>
        </is>
      </c>
      <c r="E170" s="1">
        <f>IF(D170="ストーリー", INT((COUNTIF($D$2:D170, "ストーリー")-1)/3) + 1, "NA")</f>
        <v/>
      </c>
      <c r="F170" s="1" t="inlineStr">
        <is>
          <t>単語の意味を選択してください。</t>
        </is>
      </c>
      <c r="G170" s="8" t="inlineStr">
        <is>
          <t>1. おめでとう
2. こんにちは
3. ありがとう
4. いらっしゃい</t>
        </is>
      </c>
      <c r="H170" s="1" t="n">
        <v>1</v>
      </c>
      <c r="I170" s="9" t="inlineStr">
        <is>
          <t>vH6VP6Ik5dw</t>
        </is>
      </c>
      <c r="J170" s="2" t="inlineStr">
        <is>
          <t>🎉みたいなイメージ。自分はパーティーという意味でも用いるが、これも恐らくローカルな用法だと思われる。</t>
        </is>
      </c>
      <c r="K170" s="1" t="n"/>
    </row>
    <row r="171" ht="63" customHeight="1">
      <c r="A171" s="1">
        <f>ROW()-1</f>
        <v/>
      </c>
      <c r="B171" s="1" t="n">
        <v>2025</v>
      </c>
      <c r="C171" s="1" t="n">
        <v>4</v>
      </c>
      <c r="D171" s="1" t="inlineStr">
        <is>
          <t>基本単語</t>
        </is>
      </c>
      <c r="E171" s="1">
        <f>IF(D171="ストーリー", INT((COUNTIF($D$2:D171, "ストーリー")-1)/3) + 1, "NA")</f>
        <v/>
      </c>
      <c r="F171" s="1" t="inlineStr">
        <is>
          <t>単語の意味を選択してください。</t>
        </is>
      </c>
      <c r="G171" s="8" t="inlineStr">
        <is>
          <t>1. トラ
2. ネコ
3. ライオン
4. サル</t>
        </is>
      </c>
      <c r="H171" s="1" t="n">
        <v>3</v>
      </c>
      <c r="I171" s="9" t="inlineStr">
        <is>
          <t>6PlA5o4OiPw</t>
        </is>
      </c>
      <c r="J171" s="2" t="inlineStr">
        <is>
          <t>雄ライオンの顔周りの毛を表す。ハクナマタタ。</t>
        </is>
      </c>
      <c r="K171" s="1" t="n"/>
    </row>
    <row r="172" ht="63" customHeight="1">
      <c r="A172" s="1">
        <f>ROW()-1</f>
        <v/>
      </c>
      <c r="B172" s="1" t="n">
        <v>2025</v>
      </c>
      <c r="C172" s="1" t="n">
        <v>4</v>
      </c>
      <c r="D172" s="1" t="inlineStr">
        <is>
          <t>基本単語</t>
        </is>
      </c>
      <c r="E172" s="1">
        <f>IF(D172="ストーリー", INT((COUNTIF($D$2:D172, "ストーリー")-1)/3) + 1, "NA")</f>
        <v/>
      </c>
      <c r="F172" s="1" t="inlineStr">
        <is>
          <t>単語の意味を選択してください。</t>
        </is>
      </c>
      <c r="G172" s="8" t="inlineStr">
        <is>
          <t>1. 学校
2. 会社
3. 市役所
4. 銀行</t>
        </is>
      </c>
      <c r="H172" s="1" t="n">
        <v>4</v>
      </c>
      <c r="I172" s="9" t="inlineStr">
        <is>
          <t>ZpXsE-gLPBk</t>
        </is>
      </c>
      <c r="J172" s="2" t="inlineStr">
        <is>
          <t>かつて銀行で格子ごしのやり取りを行っていたことからこのような表現になっているという説がある。だが、そんな時代は知らないので何とも言えない。</t>
        </is>
      </c>
      <c r="K172" s="1" t="n"/>
    </row>
    <row r="173" ht="63" customHeight="1">
      <c r="A173" s="1">
        <f>ROW()-1</f>
        <v/>
      </c>
      <c r="B173" s="1" t="n">
        <v>2025</v>
      </c>
      <c r="C173" s="1" t="n">
        <v>4</v>
      </c>
      <c r="D173" s="1" t="inlineStr">
        <is>
          <t>基本単語</t>
        </is>
      </c>
      <c r="E173" s="1">
        <f>IF(D173="ストーリー", INT((COUNTIF($D$2:D173, "ストーリー")-1)/3) + 1, "NA")</f>
        <v/>
      </c>
      <c r="F173" s="1" t="inlineStr">
        <is>
          <t>単語の意味を選択してください。</t>
        </is>
      </c>
      <c r="G173" s="8" t="inlineStr">
        <is>
          <t>1. ズボン
2. スカート
3. シャツ
4. 帽子</t>
        </is>
      </c>
      <c r="H173" s="1" t="n">
        <v>2</v>
      </c>
      <c r="I173" s="9" t="inlineStr">
        <is>
          <t>9x8K7yhspbM</t>
        </is>
      </c>
      <c r="J173" s="2" t="inlineStr">
        <is>
          <t>フレアスカートの形を表す。ズボンやスカートなどの手話は存在するものの、ファッションの会話をする機会は個人的にあまり多くない。</t>
        </is>
      </c>
      <c r="K173" s="1" t="n"/>
    </row>
    <row r="174" ht="63" customHeight="1">
      <c r="A174" s="1">
        <f>ROW()-1</f>
        <v/>
      </c>
      <c r="B174" s="1" t="n">
        <v>2025</v>
      </c>
      <c r="C174" s="1" t="n">
        <v>4</v>
      </c>
      <c r="D174" s="1" t="inlineStr">
        <is>
          <t>基本単語</t>
        </is>
      </c>
      <c r="E174" s="1">
        <f>IF(D174="ストーリー", INT((COUNTIF($D$2:D174, "ストーリー")-1)/3) + 1, "NA")</f>
        <v/>
      </c>
      <c r="F174" s="1" t="inlineStr">
        <is>
          <t>単語の意味を選択してください。</t>
        </is>
      </c>
      <c r="G174" s="8" t="inlineStr">
        <is>
          <t>1. 歩く
2. 寝る
3. 探す
4. 守る</t>
        </is>
      </c>
      <c r="H174" s="1" t="n">
        <v>3</v>
      </c>
      <c r="I174" s="9" t="inlineStr">
        <is>
          <t>vzwL-89sC3M</t>
        </is>
      </c>
      <c r="J174" s="2" t="inlineStr">
        <is>
          <t>目玉を動かして探している様子。指文字「メ」の形は目元で表すことで目のCLになる。酔っぱらった際などの特定の場面において目の動きを細かく表す際にも登場する。</t>
        </is>
      </c>
      <c r="K174" s="1" t="n"/>
    </row>
    <row r="175" ht="63" customHeight="1">
      <c r="A175" s="1">
        <f>ROW()-1</f>
        <v/>
      </c>
      <c r="B175" s="1" t="n">
        <v>2025</v>
      </c>
      <c r="C175" s="1" t="n">
        <v>4</v>
      </c>
      <c r="D175" s="1" t="inlineStr">
        <is>
          <t>基本単語</t>
        </is>
      </c>
      <c r="E175" s="1">
        <f>IF(D175="ストーリー", INT((COUNTIF($D$2:D175, "ストーリー")-1)/3) + 1, "NA")</f>
        <v/>
      </c>
      <c r="F175" s="1" t="inlineStr">
        <is>
          <t>単語の意味を選択してください。</t>
        </is>
      </c>
      <c r="G175" s="8" t="inlineStr">
        <is>
          <t>1. テレビ
2. 階段
3. 家
4. 団地</t>
        </is>
      </c>
      <c r="H175" s="1" t="n">
        <v>2</v>
      </c>
      <c r="I175" s="9" t="inlineStr">
        <is>
          <t>nQf5DzjY5tM</t>
        </is>
      </c>
      <c r="J175" s="2" t="inlineStr">
        <is>
          <t>階段の段差を表す。【歩く】と同じような手の形で階段を上ったり、降りたりする様子を表現してもよい。</t>
        </is>
      </c>
      <c r="K175" s="1" t="n"/>
    </row>
    <row r="176" ht="63" customHeight="1">
      <c r="A176" s="1">
        <f>ROW()-1</f>
        <v/>
      </c>
      <c r="B176" s="1" t="n">
        <v>2025</v>
      </c>
      <c r="C176" s="1" t="n">
        <v>4</v>
      </c>
      <c r="D176" s="1" t="inlineStr">
        <is>
          <t>基本単語</t>
        </is>
      </c>
      <c r="E176" s="1">
        <f>IF(D176="ストーリー", INT((COUNTIF($D$2:D176, "ストーリー")-1)/3) + 1, "NA")</f>
        <v/>
      </c>
      <c r="F176" s="1" t="inlineStr">
        <is>
          <t>単語の意味を選択してください。</t>
        </is>
      </c>
      <c r="G176" s="8" t="inlineStr">
        <is>
          <t>1. バス
2. 電車
3. エレベーター
4. ロープウェイ</t>
        </is>
      </c>
      <c r="H176" s="1" t="n">
        <v>4</v>
      </c>
      <c r="I176" s="9" t="inlineStr">
        <is>
          <t>c4noW6IVp04</t>
        </is>
      </c>
      <c r="J176" s="2" t="inlineStr">
        <is>
          <t>個人的にあまり表す機会はない。</t>
        </is>
      </c>
      <c r="K176" s="1" t="n"/>
    </row>
    <row r="177" ht="63" customHeight="1">
      <c r="A177" s="1">
        <f>ROW()-1</f>
        <v/>
      </c>
      <c r="B177" s="1" t="n">
        <v>2025</v>
      </c>
      <c r="C177" s="1" t="n">
        <v>4</v>
      </c>
      <c r="D177" s="1" t="inlineStr">
        <is>
          <t>基本単語</t>
        </is>
      </c>
      <c r="E177" s="1">
        <f>IF(D177="ストーリー", INT((COUNTIF($D$2:D177, "ストーリー")-1)/3) + 1, "NA")</f>
        <v/>
      </c>
      <c r="F177" s="1" t="inlineStr">
        <is>
          <t>単語の意味を選択してください。</t>
        </is>
      </c>
      <c r="G177" s="8" t="inlineStr">
        <is>
          <t>1. カバン
2. 時計
3. 財布
4. ペン</t>
        </is>
      </c>
      <c r="H177" s="1" t="n">
        <v>3</v>
      </c>
      <c r="I177" s="9" t="inlineStr">
        <is>
          <t>TmuXIUUmrkg</t>
        </is>
      </c>
      <c r="J177" s="2" t="inlineStr">
        <is>
          <t>お金を財布に見立てた手のところに入れている様子。</t>
        </is>
      </c>
      <c r="K177" s="1" t="n"/>
    </row>
    <row r="178" ht="63" customHeight="1">
      <c r="A178" s="1">
        <f>ROW()-1</f>
        <v/>
      </c>
      <c r="B178" s="1" t="n">
        <v>2025</v>
      </c>
      <c r="C178" s="1" t="n">
        <v>4</v>
      </c>
      <c r="D178" s="1" t="inlineStr">
        <is>
          <t>基本単語</t>
        </is>
      </c>
      <c r="E178" s="1">
        <f>IF(D178="ストーリー", INT((COUNTIF($D$2:D178, "ストーリー")-1)/3) + 1, "NA")</f>
        <v/>
      </c>
      <c r="F178" s="1" t="inlineStr">
        <is>
          <t>単語の意味を選択してください。</t>
        </is>
      </c>
      <c r="G178" s="8" t="inlineStr">
        <is>
          <t>1. くつ
2. ぼうし
3. シャツ
4. スカーフ</t>
        </is>
      </c>
      <c r="H178" s="1" t="n">
        <v>1</v>
      </c>
      <c r="I178" s="9" t="inlineStr">
        <is>
          <t>PgedSgHf5DM</t>
        </is>
      </c>
      <c r="J178" s="2" t="inlineStr">
        <is>
          <t>靴にはいくつかの表現がある。動画の表現は靴ベラを使う様子を表しており、ほかにも折り曲げた親指・人差し指をほほにつけるような表現がある。これは昔の靴の原料やメンテナンスに使うものが松であり【松】の手話から来ているようである。</t>
        </is>
      </c>
      <c r="K178" s="1" t="n"/>
    </row>
    <row r="179" ht="63" customHeight="1">
      <c r="A179" s="1">
        <f>ROW()-1</f>
        <v/>
      </c>
      <c r="B179" s="1" t="n">
        <v>2025</v>
      </c>
      <c r="C179" s="1" t="n">
        <v>4</v>
      </c>
      <c r="D179" s="1" t="inlineStr">
        <is>
          <t>基本単語</t>
        </is>
      </c>
      <c r="E179" s="1">
        <f>IF(D179="ストーリー", INT((COUNTIF($D$2:D179, "ストーリー")-1)/3) + 1, "NA")</f>
        <v/>
      </c>
      <c r="F179" s="1" t="inlineStr">
        <is>
          <t>単語の意味を選択してください。</t>
        </is>
      </c>
      <c r="G179" s="8" t="inlineStr">
        <is>
          <t>1. とびら
2. トイレ
3. 窓
4. 壁</t>
        </is>
      </c>
      <c r="H179" s="1" t="n">
        <v>1</v>
      </c>
      <c r="I179" s="9" t="inlineStr">
        <is>
          <t>GE49M44O3T4</t>
        </is>
      </c>
      <c r="J179" s="2" t="inlineStr">
        <is>
          <t>開けるしぐさがなくてもよさそうだが、ノブを回すだけだと「ドアノブ」と勘違いする人もいるらしい。</t>
        </is>
      </c>
      <c r="K179" s="1" t="n"/>
    </row>
    <row r="180" ht="63" customHeight="1">
      <c r="A180" s="1">
        <f>ROW()-1</f>
        <v/>
      </c>
      <c r="B180" s="1" t="n">
        <v>2025</v>
      </c>
      <c r="C180" s="1" t="n">
        <v>4</v>
      </c>
      <c r="D180" s="1" t="inlineStr">
        <is>
          <t>基本単語</t>
        </is>
      </c>
      <c r="E180" s="1">
        <f>IF(D180="ストーリー", INT((COUNTIF($D$2:D180, "ストーリー")-1)/3) + 1, "NA")</f>
        <v/>
      </c>
      <c r="F180" s="1" t="inlineStr">
        <is>
          <t>単語の意味を選択してください。</t>
        </is>
      </c>
      <c r="G180" s="8" t="inlineStr">
        <is>
          <t>1. 先輩
2. 同期
3. 後輩
4. 先生</t>
        </is>
      </c>
      <c r="H180" s="1" t="n">
        <v>3</v>
      </c>
      <c r="I180" s="9" t="inlineStr">
        <is>
          <t>Wx5lXqzXJnM</t>
        </is>
      </c>
      <c r="J180" s="2" t="inlineStr">
        <is>
          <t>指文字コのような形にした手は背丈を表している。後輩は自分よりも小さいということをイメージしている。このほか同期・先輩という表現も同じように背丈のイメージで表すことができる。</t>
        </is>
      </c>
      <c r="K180" s="1" t="n"/>
    </row>
    <row r="181" ht="63" customHeight="1">
      <c r="A181" s="1">
        <f>ROW()-1</f>
        <v/>
      </c>
      <c r="B181" s="1" t="n">
        <v>2025</v>
      </c>
      <c r="C181" s="1" t="n">
        <v>4</v>
      </c>
      <c r="D181" s="1" t="inlineStr">
        <is>
          <t>基本単語</t>
        </is>
      </c>
      <c r="E181" s="1">
        <f>IF(D181="ストーリー", INT((COUNTIF($D$2:D181, "ストーリー")-1)/3) + 1, "NA")</f>
        <v/>
      </c>
      <c r="F181" s="1" t="inlineStr">
        <is>
          <t>単語の意味を選択してください。</t>
        </is>
      </c>
      <c r="G181" s="8" t="inlineStr">
        <is>
          <t>1. 広い
2. 狭い
3. 広がる
4. 集まる</t>
        </is>
      </c>
      <c r="H181" s="1" t="n">
        <v>2</v>
      </c>
      <c r="I181" s="9" t="inlineStr">
        <is>
          <t>X9ktq6LJafA</t>
        </is>
      </c>
      <c r="J181" s="2" t="inlineStr">
        <is>
          <t>普段は両手指文字ヤが縮まるような表現を用いるが教本から参照できる映像ではこのような表現を用いていた。これでも見て分からなくはないが表したい「狭い」が本当に人間がつぶれるほどの狭さなのかは表現する際に考えたほうがよさそう。</t>
        </is>
      </c>
      <c r="K181" s="1" t="n"/>
    </row>
    <row r="182" ht="63" customHeight="1">
      <c r="A182" s="1">
        <f>ROW()-1</f>
        <v/>
      </c>
      <c r="B182" s="1" t="n">
        <v>2025</v>
      </c>
      <c r="C182" s="1" t="n">
        <v>4</v>
      </c>
      <c r="D182" s="1" t="inlineStr">
        <is>
          <t>基本単語</t>
        </is>
      </c>
      <c r="E182" s="1">
        <f>IF(D182="ストーリー", INT((COUNTIF($D$2:D182, "ストーリー")-1)/3) + 1, "NA")</f>
        <v/>
      </c>
      <c r="F182" s="1" t="inlineStr">
        <is>
          <t>単語の意味を選択してください。</t>
        </is>
      </c>
      <c r="G182" s="8" t="inlineStr">
        <is>
          <t>1. 一流
2. 三流
3. 上流
4. 下流</t>
        </is>
      </c>
      <c r="H182" s="1" t="n">
        <v>2</v>
      </c>
      <c r="I182" s="9" t="inlineStr">
        <is>
          <t>O56hCgyM4jQ</t>
        </is>
      </c>
      <c r="J182" s="2" t="inlineStr">
        <is>
          <t>【流】【組織】といった表現。組織構造が上からどんどん派生していることをイメージしている。辞書にも載っている表現で意外とろうの方からも表されることもある。</t>
        </is>
      </c>
      <c r="K182" s="1" t="n"/>
    </row>
    <row r="183" ht="63" customHeight="1">
      <c r="A183" s="1">
        <f>ROW()-1</f>
        <v/>
      </c>
      <c r="B183" s="1" t="n">
        <v>2025</v>
      </c>
      <c r="C183" s="1" t="n">
        <v>4</v>
      </c>
      <c r="D183" s="1" t="inlineStr">
        <is>
          <t>基本単語</t>
        </is>
      </c>
      <c r="E183" s="1">
        <f>IF(D183="ストーリー", INT((COUNTIF($D$2:D183, "ストーリー")-1)/3) + 1, "NA")</f>
        <v/>
      </c>
      <c r="F183" s="1" t="inlineStr">
        <is>
          <t>単語の意味を選択してください。</t>
        </is>
      </c>
      <c r="G183" s="8" t="inlineStr">
        <is>
          <t>1. 山
2. キャンプ
3. 海
4. 川</t>
        </is>
      </c>
      <c r="H183" s="1" t="n">
        <v>2</v>
      </c>
      <c r="I183" s="9" t="inlineStr">
        <is>
          <t>4LZVgJThWbE</t>
        </is>
      </c>
      <c r="J183" s="2" t="inlineStr">
        <is>
          <t>地面に張ったテントの形を表している。【最初】という手話と似ているため、割と読み取るためには知っておいた方がよい表現だといえる。</t>
        </is>
      </c>
      <c r="K183" s="1" t="n"/>
    </row>
    <row r="184" ht="63" customHeight="1">
      <c r="A184" s="1">
        <f>ROW()-1</f>
        <v/>
      </c>
      <c r="B184" s="1" t="n">
        <v>2025</v>
      </c>
      <c r="C184" s="1" t="n">
        <v>4</v>
      </c>
      <c r="D184" s="1" t="inlineStr">
        <is>
          <t>基本単語</t>
        </is>
      </c>
      <c r="E184" s="1">
        <f>IF(D184="ストーリー", INT((COUNTIF($D$2:D184, "ストーリー")-1)/3) + 1, "NA")</f>
        <v/>
      </c>
      <c r="F184" s="1" t="inlineStr">
        <is>
          <t>単語の意味を選択してください。</t>
        </is>
      </c>
      <c r="G184" s="8" t="inlineStr">
        <is>
          <t>1. 通院
2. 外出
3. 勉強
4. 入院</t>
        </is>
      </c>
      <c r="H184" s="1" t="n">
        <v>4</v>
      </c>
      <c r="I184" s="5" t="inlineStr">
        <is>
          <t>yzKVaRFlHg0</t>
        </is>
      </c>
      <c r="J184" s="2" t="inlineStr">
        <is>
          <t>人差し指・中指は寝ている人の足を表現しており、添えている手のひらはベッドを表している。教本から参照できる映像ではベッドごと動かしているが、自分で表す際はベッド側を固定し、そこに人が載るようにして表している。実態としては両方見かけることがある。</t>
        </is>
      </c>
      <c r="K184" s="1" t="n"/>
    </row>
    <row r="185" ht="63" customHeight="1">
      <c r="A185" s="1">
        <f>ROW()-1</f>
        <v/>
      </c>
      <c r="B185" s="1" t="n">
        <v>2025</v>
      </c>
      <c r="C185" s="1" t="n">
        <v>4</v>
      </c>
      <c r="D185" s="1" t="inlineStr">
        <is>
          <t>基本単語</t>
        </is>
      </c>
      <c r="E185" s="1">
        <f>IF(D185="ストーリー", INT((COUNTIF($D$2:D185, "ストーリー")-1)/3) + 1, "NA")</f>
        <v/>
      </c>
      <c r="F185" s="1" t="inlineStr">
        <is>
          <t>単語の意味を選択してください。</t>
        </is>
      </c>
      <c r="G185" s="8" t="inlineStr">
        <is>
          <t>1. すまい
2. まち
3. しごと
4. せまい</t>
        </is>
      </c>
      <c r="H185" s="1" t="n">
        <v>3</v>
      </c>
      <c r="I185" s="9" t="inlineStr">
        <is>
          <t>5eKmxwdO9Ss</t>
        </is>
      </c>
      <c r="J185" s="2" t="inlineStr">
        <is>
          <t>手話【仕事】は書類をかき集めて整頓する様子。ろうの方は耳が聞こえない、つまり騒音の中のストレスが聴者よりも少ないということで、その特性を生かし、古くは騒音の印刷所で働いていたことに由来すると言われている。さらに昔は工業系業務に従事していたということで【作る】の手話で【仕事】と表していた。</t>
        </is>
      </c>
      <c r="K185" s="1" t="n"/>
    </row>
    <row r="186" ht="63" customHeight="1">
      <c r="A186" s="1">
        <f>ROW()-1</f>
        <v/>
      </c>
      <c r="B186" s="1" t="n">
        <v>2025</v>
      </c>
      <c r="C186" s="1" t="n">
        <v>4</v>
      </c>
      <c r="D186" s="1" t="inlineStr">
        <is>
          <t>基本単語</t>
        </is>
      </c>
      <c r="E186" s="1">
        <f>IF(D186="ストーリー", INT((COUNTIF($D$2:D186, "ストーリー")-1)/3) + 1, "NA")</f>
        <v/>
      </c>
      <c r="F186" s="1" t="inlineStr">
        <is>
          <t>単語の意味を選択してください。</t>
        </is>
      </c>
      <c r="G186" s="8" t="inlineStr">
        <is>
          <t>1. 少し前
2. しばらく
3. この前
4. さきほど</t>
        </is>
      </c>
      <c r="H186" s="1" t="n">
        <v>1</v>
      </c>
      <c r="I186" s="9" t="inlineStr">
        <is>
          <t>4sQy81458xU</t>
        </is>
      </c>
      <c r="J186" s="2" t="inlineStr">
        <is>
          <t>手話単語【少し】【前】を合わせた表現。実際には「少し前」というのは【前】という手話単語の表し方で調整して表現することができるが、対応手話としてこのような表現もできる。</t>
        </is>
      </c>
      <c r="K186" s="1" t="n"/>
    </row>
    <row r="187" ht="63" customHeight="1">
      <c r="A187" s="1">
        <f>ROW()-1</f>
        <v/>
      </c>
      <c r="B187" s="1" t="n">
        <v>2025</v>
      </c>
      <c r="C187" s="1" t="n">
        <v>4</v>
      </c>
      <c r="D187" s="1" t="inlineStr">
        <is>
          <t>基本単語</t>
        </is>
      </c>
      <c r="E187" s="1">
        <f>IF(D187="ストーリー", INT((COUNTIF($D$2:D187, "ストーリー")-1)/3) + 1, "NA")</f>
        <v/>
      </c>
      <c r="F187" s="1" t="inlineStr">
        <is>
          <t>単語の意味を選択してください。</t>
        </is>
      </c>
      <c r="G187" s="8" t="inlineStr">
        <is>
          <t>1. 残す
2. 休む
3. 出る
4. 超える</t>
        </is>
      </c>
      <c r="H187" s="1" t="n">
        <v>1</v>
      </c>
      <c r="I187" s="9" t="inlineStr">
        <is>
          <t>-TgGRB1xnFg</t>
        </is>
      </c>
      <c r="J187" s="2" t="inlineStr">
        <is>
          <t>手話単語【残る】はかまどに残ったご飯粒をしゃもじでかき集める様子という説がある。個人的には使いどころがあまりなく声を出して手話をするとき以外にはあまり用いていない。</t>
        </is>
      </c>
      <c r="K187" s="1" t="n"/>
    </row>
    <row r="188" ht="63" customHeight="1">
      <c r="A188" s="1">
        <f>ROW()-1</f>
        <v/>
      </c>
      <c r="B188" s="1" t="n">
        <v>2025</v>
      </c>
      <c r="C188" s="1" t="n">
        <v>4</v>
      </c>
      <c r="D188" s="1" t="inlineStr">
        <is>
          <t>基本単語</t>
        </is>
      </c>
      <c r="E188" s="1">
        <f>IF(D188="ストーリー", INT((COUNTIF($D$2:D188, "ストーリー")-1)/3) + 1, "NA")</f>
        <v/>
      </c>
      <c r="F188" s="1" t="inlineStr">
        <is>
          <t>単語の意味を選択してください。</t>
        </is>
      </c>
      <c r="G188" s="8" t="inlineStr">
        <is>
          <t>1. 明るい
2. 天気
3. 雨
4. 晴れ</t>
        </is>
      </c>
      <c r="H188" s="1" t="n">
        <v>2</v>
      </c>
      <c r="I188" s="9" t="inlineStr">
        <is>
          <t>IbnrsLBNS9A</t>
        </is>
      </c>
      <c r="J188" s="2" t="inlineStr">
        <is>
          <t>【空】【天気】などの表現。手話ニュースの気象情報で見ることができる。</t>
        </is>
      </c>
      <c r="K188" s="1" t="n"/>
    </row>
    <row r="189" ht="63" customHeight="1">
      <c r="A189" s="1">
        <f>ROW()-1</f>
        <v/>
      </c>
      <c r="B189" s="1" t="n">
        <v>2025</v>
      </c>
      <c r="C189" s="1" t="n">
        <v>4</v>
      </c>
      <c r="D189" s="1" t="inlineStr">
        <is>
          <t>基本単語</t>
        </is>
      </c>
      <c r="E189" s="1">
        <f>IF(D189="ストーリー", INT((COUNTIF($D$2:D189, "ストーリー")-1)/3) + 1, "NA")</f>
        <v/>
      </c>
      <c r="F189" s="1" t="inlineStr">
        <is>
          <t>単語の意味を選択してください。</t>
        </is>
      </c>
      <c r="G189" s="8" t="inlineStr">
        <is>
          <t>1. 週末
2. 毎日
3. 平日
4. 毎月</t>
        </is>
      </c>
      <c r="H189" s="1" t="n">
        <v>2</v>
      </c>
      <c r="I189" s="9" t="inlineStr">
        <is>
          <t>1oEP1RXLrdw</t>
        </is>
      </c>
      <c r="J189" s="2" t="inlineStr">
        <is>
          <t>手話単語【生活】と同じで太陽の昇り沈みを表しているようだ。</t>
        </is>
      </c>
      <c r="K189" s="1" t="n"/>
    </row>
    <row r="190" ht="63" customHeight="1">
      <c r="A190" s="1">
        <f>ROW()-1</f>
        <v/>
      </c>
      <c r="B190" s="1" t="n">
        <v>2025</v>
      </c>
      <c r="C190" s="1" t="n">
        <v>4</v>
      </c>
      <c r="D190" s="1" t="inlineStr">
        <is>
          <t>基本単語</t>
        </is>
      </c>
      <c r="E190" s="1">
        <f>IF(D190="ストーリー", INT((COUNTIF($D$2:D190, "ストーリー")-1)/3) + 1, "NA")</f>
        <v/>
      </c>
      <c r="F190" s="1" t="inlineStr">
        <is>
          <t>単語の意味を選択してください。</t>
        </is>
      </c>
      <c r="G190" s="8" t="inlineStr">
        <is>
          <t>1. 家
2. アパート
3. マンション
4. ホテル</t>
        </is>
      </c>
      <c r="H190" s="1" t="n">
        <v>3</v>
      </c>
      <c r="I190" s="9" t="inlineStr">
        <is>
          <t>aQ-1YVf3zoE</t>
        </is>
      </c>
      <c r="J190" s="2" t="inlineStr">
        <is>
          <t>手話単語【万】【建物】で表現することができる。教本から参照できる映像ではまた別の表現が用いられていた。ちなみにアパートはまた別の表現がある。</t>
        </is>
      </c>
      <c r="K190" s="1" t="n"/>
    </row>
    <row r="191" ht="63" customHeight="1">
      <c r="A191" s="1">
        <f>ROW()-1</f>
        <v/>
      </c>
      <c r="B191" s="1" t="n">
        <v>2025</v>
      </c>
      <c r="C191" s="1" t="n">
        <v>4</v>
      </c>
      <c r="D191" s="1" t="inlineStr">
        <is>
          <t>基本単語</t>
        </is>
      </c>
      <c r="E191" s="1">
        <f>IF(D191="ストーリー", INT((COUNTIF($D$2:D191, "ストーリー")-1)/3) + 1, "NA")</f>
        <v/>
      </c>
      <c r="F191" s="1" t="inlineStr">
        <is>
          <t>単語の意味を選択してください。</t>
        </is>
      </c>
      <c r="G191" s="8" t="inlineStr">
        <is>
          <t>1. 花
2. 木
3. 草
4. バラ</t>
        </is>
      </c>
      <c r="H191" s="1" t="n">
        <v>4</v>
      </c>
      <c r="I191" s="9" t="inlineStr">
        <is>
          <t>tEHycZsYqOU</t>
        </is>
      </c>
      <c r="J191" s="2" t="inlineStr">
        <is>
          <t>口にくわえたバラを表す。今時そんな奴居らんだろ…と思ったが昔も実在したのかは不明。</t>
        </is>
      </c>
      <c r="K191" s="1" t="n"/>
    </row>
    <row r="192" ht="63" customHeight="1">
      <c r="A192" s="1">
        <f>ROW()-1</f>
        <v/>
      </c>
      <c r="B192" s="1" t="n">
        <v>2025</v>
      </c>
      <c r="C192" s="1" t="n">
        <v>4</v>
      </c>
      <c r="D192" s="1" t="inlineStr">
        <is>
          <t>基本単語</t>
        </is>
      </c>
      <c r="E192" s="1">
        <f>IF(D192="ストーリー", INT((COUNTIF($D$2:D192, "ストーリー")-1)/3) + 1, "NA")</f>
        <v/>
      </c>
      <c r="F192" s="1" t="inlineStr">
        <is>
          <t>単語の意味を選択してください。</t>
        </is>
      </c>
      <c r="G192" s="8" t="inlineStr">
        <is>
          <t>1. 酒
2. 水
3. コーヒー
4. ジュース</t>
        </is>
      </c>
      <c r="H192" s="1" t="n">
        <v>2</v>
      </c>
      <c r="I192" s="9" t="inlineStr">
        <is>
          <t>l8oj8ECJ9wg</t>
        </is>
      </c>
      <c r="J192" s="2" t="inlineStr">
        <is>
          <t>手話【水】の表現は2番目くらいに多いのだとか？</t>
        </is>
      </c>
      <c r="K192" s="1" t="n"/>
    </row>
    <row r="193" ht="63" customHeight="1">
      <c r="A193" s="1">
        <f>ROW()-1</f>
        <v/>
      </c>
      <c r="B193" s="1" t="n">
        <v>2025</v>
      </c>
      <c r="C193" s="1" t="n">
        <v>4</v>
      </c>
      <c r="D193" s="1" t="inlineStr">
        <is>
          <t>基本単語</t>
        </is>
      </c>
      <c r="E193" s="1">
        <f>IF(D193="ストーリー", INT((COUNTIF($D$2:D193, "ストーリー")-1)/3) + 1, "NA")</f>
        <v/>
      </c>
      <c r="F193" s="1" t="inlineStr">
        <is>
          <t>単語の意味を選択してください。</t>
        </is>
      </c>
      <c r="G193" s="8" t="inlineStr">
        <is>
          <t>1. ハンカチ
2. タオル
3. 服
4. ぼうし</t>
        </is>
      </c>
      <c r="H193" s="1" t="n">
        <v>1</v>
      </c>
      <c r="I193" s="9" t="inlineStr">
        <is>
          <t>H7YeDOyRuGk</t>
        </is>
      </c>
      <c r="J193" s="2" t="inlineStr">
        <is>
          <t>完全に形を表しているだけの表現。これだけだと包み紙なのかハンカチなのかそのほかなのか分からないため、実用にはもう少し補足情報があったほうが伝わりやすそう。</t>
        </is>
      </c>
      <c r="K193" s="1" t="n"/>
    </row>
    <row r="194" ht="63" customHeight="1">
      <c r="A194" s="1">
        <f>ROW()-1</f>
        <v/>
      </c>
      <c r="B194" s="1" t="n">
        <v>2025</v>
      </c>
      <c r="C194" s="1" t="n">
        <v>4</v>
      </c>
      <c r="D194" s="1" t="inlineStr">
        <is>
          <t>基本単語</t>
        </is>
      </c>
      <c r="E194" s="1">
        <f>IF(D194="ストーリー", INT((COUNTIF($D$2:D194, "ストーリー")-1)/3) + 1, "NA")</f>
        <v/>
      </c>
      <c r="F194" s="1" t="inlineStr">
        <is>
          <t>単語の意味を選択してください。</t>
        </is>
      </c>
      <c r="G194" s="8" t="inlineStr">
        <is>
          <t>1. 今年
2. 去年
3. 来週
4. 来年</t>
        </is>
      </c>
      <c r="H194" s="1" t="n">
        <v>4</v>
      </c>
      <c r="I194" s="9" t="inlineStr">
        <is>
          <t>ix2N16Z3sVc</t>
        </is>
      </c>
      <c r="J194" s="2" t="inlineStr">
        <is>
          <t>【年】を表現してから未来方向に数字の1を向ける表現。【年】は木の年輪を表す。この語順に基づき【今年】の手話は【今】【年】ではなく【年】【今】と表すべきと主張する人もいる。</t>
        </is>
      </c>
      <c r="K194" s="1" t="n"/>
    </row>
    <row r="195" ht="63" customHeight="1">
      <c r="A195" s="1">
        <f>ROW()-1</f>
        <v/>
      </c>
      <c r="B195" s="1" t="n">
        <v>2025</v>
      </c>
      <c r="C195" s="1" t="n">
        <v>4</v>
      </c>
      <c r="D195" s="1" t="inlineStr">
        <is>
          <t>基本単語</t>
        </is>
      </c>
      <c r="E195" s="1">
        <f>IF(D195="ストーリー", INT((COUNTIF($D$2:D195, "ストーリー")-1)/3) + 1, "NA")</f>
        <v/>
      </c>
      <c r="F195" s="1" t="inlineStr">
        <is>
          <t>単語の意味を選択してください。</t>
        </is>
      </c>
      <c r="G195" s="8" t="inlineStr">
        <is>
          <t>1. 静か
2. うるさい
3. にぎやか
4. 明るい</t>
        </is>
      </c>
      <c r="H195" s="1" t="n">
        <v>1</v>
      </c>
      <c r="I195" s="9" t="inlineStr">
        <is>
          <t>QbGdAIZajNQ</t>
        </is>
      </c>
      <c r="J195" s="2" t="inlineStr">
        <is>
          <t>人差し指で「静かにしてね…」ということを表している。静かにしようと言うことを伝えるときはこのように落ち着いて伝えるべきであり決して叫ぶべきではない。</t>
        </is>
      </c>
      <c r="K195" s="1" t="n"/>
    </row>
    <row r="196" ht="63" customHeight="1">
      <c r="A196" s="1">
        <f>ROW()-1</f>
        <v/>
      </c>
      <c r="B196" s="1" t="n">
        <v>2025</v>
      </c>
      <c r="C196" s="1" t="n">
        <v>4</v>
      </c>
      <c r="D196" s="1" t="inlineStr">
        <is>
          <t>基本単語</t>
        </is>
      </c>
      <c r="E196" s="1">
        <f>IF(D196="ストーリー", INT((COUNTIF($D$2:D196, "ストーリー")-1)/3) + 1, "NA")</f>
        <v/>
      </c>
      <c r="F196" s="1" t="inlineStr">
        <is>
          <t>単語の意味を選択してください。</t>
        </is>
      </c>
      <c r="G196" s="8" t="inlineStr">
        <is>
          <t>1. 渡す
2. 返る
3. 送る
4. 借りる</t>
        </is>
      </c>
      <c r="H196" s="1" t="n">
        <v>3</v>
      </c>
      <c r="I196" s="9" t="inlineStr">
        <is>
          <t>30-lNuca8t0</t>
        </is>
      </c>
      <c r="J196" s="2" t="inlineStr">
        <is>
          <t>郵便マーク〒を手で作り送り先に動かすようにする。教本から参照できる映像では微妙に違っており、郵便マークは作っていなかったように思える。</t>
        </is>
      </c>
      <c r="K196" s="1" t="n"/>
    </row>
    <row r="197" ht="63" customHeight="1">
      <c r="A197" s="1">
        <f>ROW()-1</f>
        <v/>
      </c>
      <c r="B197" s="1" t="n">
        <v>2025</v>
      </c>
      <c r="C197" s="1" t="n">
        <v>4</v>
      </c>
      <c r="D197" s="1" t="inlineStr">
        <is>
          <t>基本単語</t>
        </is>
      </c>
      <c r="E197" s="1">
        <f>IF(D197="ストーリー", INT((COUNTIF($D$2:D197, "ストーリー")-1)/3) + 1, "NA")</f>
        <v/>
      </c>
      <c r="F197" s="1" t="inlineStr">
        <is>
          <t>単語の意味を選択してください。</t>
        </is>
      </c>
      <c r="G197" s="8" t="inlineStr">
        <is>
          <t>1. 狐
2. キリン
3. 犬
4. 猫</t>
        </is>
      </c>
      <c r="H197" s="1" t="n">
        <v>1</v>
      </c>
      <c r="I197" s="9" t="inlineStr">
        <is>
          <t>M-DJ4a0I7Ek</t>
        </is>
      </c>
      <c r="J197" s="2" t="inlineStr">
        <is>
          <t>日本にも古くからある狐のハンドサイン。脳内の一番奥にあるのも狐。</t>
        </is>
      </c>
      <c r="K197" s="1" t="n"/>
    </row>
    <row r="198" ht="63" customHeight="1">
      <c r="A198" s="1">
        <f>ROW()-1</f>
        <v/>
      </c>
      <c r="B198" s="1" t="n">
        <v>2025</v>
      </c>
      <c r="C198" s="1" t="n">
        <v>4</v>
      </c>
      <c r="D198" s="1" t="inlineStr">
        <is>
          <t>基本単語</t>
        </is>
      </c>
      <c r="E198" s="1">
        <f>IF(D198="ストーリー", INT((COUNTIF($D$2:D198, "ストーリー")-1)/3) + 1, "NA")</f>
        <v/>
      </c>
      <c r="F198" s="1" t="inlineStr">
        <is>
          <t>単語の意味を選択してください。</t>
        </is>
      </c>
      <c r="G198" s="8" t="inlineStr">
        <is>
          <t>1. 福井
2. 大阪
3. 秋田
4. 岩手</t>
        </is>
      </c>
      <c r="H198" s="1" t="n">
        <v>3</v>
      </c>
      <c r="I198" s="9" t="inlineStr">
        <is>
          <t>20981fttCOQ</t>
        </is>
      </c>
      <c r="J198" s="2" t="inlineStr">
        <is>
          <t>秋田名産のふきを表している。「ふき」とはアニメ映画「となりのトトロ」などでトトロが傘のように持っている大きな植物のこと。</t>
        </is>
      </c>
      <c r="K198" s="1" t="n"/>
    </row>
    <row r="199" ht="63" customHeight="1">
      <c r="A199" s="1">
        <f>ROW()-1</f>
        <v/>
      </c>
      <c r="B199" s="1" t="n">
        <v>2025</v>
      </c>
      <c r="C199" s="1" t="n">
        <v>4</v>
      </c>
      <c r="D199" s="1" t="inlineStr">
        <is>
          <t>基本単語</t>
        </is>
      </c>
      <c r="E199" s="1">
        <f>IF(D199="ストーリー", INT((COUNTIF($D$2:D199, "ストーリー")-1)/3) + 1, "NA")</f>
        <v/>
      </c>
      <c r="F199" s="1" t="inlineStr">
        <is>
          <t>単語の意味を選択してください。</t>
        </is>
      </c>
      <c r="G199" s="8" t="inlineStr">
        <is>
          <t>1. ぶどう
2. りんご
3. みかん
4. なし</t>
        </is>
      </c>
      <c r="H199" s="1" t="n">
        <v>1</v>
      </c>
      <c r="I199" s="9" t="inlineStr">
        <is>
          <t>DJV-0qxdHnA</t>
        </is>
      </c>
      <c r="J199" s="2" t="inlineStr">
        <is>
          <t>ブドウの房を表す。【山梨県】という手話でもある。</t>
        </is>
      </c>
      <c r="K199" s="1" t="n"/>
    </row>
    <row r="200" ht="63" customHeight="1">
      <c r="A200" s="1">
        <f>ROW()-1</f>
        <v/>
      </c>
      <c r="B200" s="1" t="n">
        <v>2025</v>
      </c>
      <c r="C200" s="1" t="n">
        <v>4</v>
      </c>
      <c r="D200" s="1" t="inlineStr">
        <is>
          <t>基本単語</t>
        </is>
      </c>
      <c r="E200" s="1">
        <f>IF(D200="ストーリー", INT((COUNTIF($D$2:D200, "ストーリー")-1)/3) + 1, "NA")</f>
        <v/>
      </c>
      <c r="F200" s="1" t="inlineStr">
        <is>
          <t>単語の意味を選択してください。</t>
        </is>
      </c>
      <c r="G200" s="8" t="inlineStr">
        <is>
          <t>1. 逃げる
2. くつ
3. ほうき
4. タオル</t>
        </is>
      </c>
      <c r="H200" s="1" t="n">
        <v>3</v>
      </c>
      <c r="I200" s="9" t="inlineStr">
        <is>
          <t>9wEfpYGQCUY</t>
        </is>
      </c>
      <c r="J200" s="2" t="inlineStr">
        <is>
          <t>ほうきを使っている様子を表す。アニメ「天才バカボン」などに登場するレレレのおじさんのしぐさを見ると分かりやすい。</t>
        </is>
      </c>
      <c r="K200" s="1" t="n"/>
    </row>
    <row r="201" ht="63" customHeight="1">
      <c r="A201" s="1">
        <f>ROW()-1</f>
        <v/>
      </c>
      <c r="B201" s="1" t="n">
        <v>2025</v>
      </c>
      <c r="C201" s="1" t="n">
        <v>3</v>
      </c>
      <c r="D201" s="1" t="inlineStr">
        <is>
          <t>基本単語</t>
        </is>
      </c>
      <c r="E201" s="1">
        <f>IF(D201="ストーリー", INT((COUNTIF($D$2:D201, "ストーリー")-1)/3) + 1, "NA")</f>
        <v/>
      </c>
      <c r="F201" s="1" t="inlineStr">
        <is>
          <t>単語の意味を選択してください。</t>
        </is>
      </c>
      <c r="G201" s="8" t="inlineStr">
        <is>
          <t>1. 動物園
2. 水族館
3. 博物館
4. 美術館</t>
        </is>
      </c>
      <c r="H201" s="1" t="n">
        <v>2</v>
      </c>
      <c r="I201" s="9" t="inlineStr">
        <is>
          <t>T4QtCjYLTsY</t>
        </is>
      </c>
      <c r="J201" s="2" t="inlineStr">
        <is>
          <t>【魚】+【建物】で表現するが教本から参照できる映像では両手で表現されていた。確かにたくさんの魚がいるわけだからこの表現は好きだなと思った。</t>
        </is>
      </c>
      <c r="K201" s="1" t="n"/>
    </row>
    <row r="202" ht="63" customHeight="1">
      <c r="A202" s="1">
        <f>ROW()-1</f>
        <v/>
      </c>
      <c r="B202" s="1" t="n">
        <v>2025</v>
      </c>
      <c r="C202" s="1" t="n">
        <v>3</v>
      </c>
      <c r="D202" s="1" t="inlineStr">
        <is>
          <t>基本単語</t>
        </is>
      </c>
      <c r="E202" s="1">
        <f>IF(D202="ストーリー", INT((COUNTIF($D$2:D202, "ストーリー")-1)/3) + 1, "NA")</f>
        <v/>
      </c>
      <c r="F202" s="1" t="inlineStr">
        <is>
          <t>単語の意味を選択してください。</t>
        </is>
      </c>
      <c r="G202" s="8" t="inlineStr">
        <is>
          <t>1. 優しさ
2. 思いやり
3. 愛
4. 気持ち</t>
        </is>
      </c>
      <c r="H202" s="1" t="n">
        <v>2</v>
      </c>
      <c r="I202" s="9" t="inlineStr">
        <is>
          <t>U9zm4DZs_3k</t>
        </is>
      </c>
      <c r="J202" s="2" t="inlineStr">
        <is>
          <t>【思う】+【助ける】で表現されている。個人的には見たことがない。</t>
        </is>
      </c>
      <c r="K202" s="1" t="n"/>
    </row>
    <row r="203" ht="63" customHeight="1">
      <c r="A203" s="1">
        <f>ROW()-1</f>
        <v/>
      </c>
      <c r="B203" s="1" t="n">
        <v>2025</v>
      </c>
      <c r="C203" s="1" t="n">
        <v>3</v>
      </c>
      <c r="D203" s="1" t="inlineStr">
        <is>
          <t>基本単語</t>
        </is>
      </c>
      <c r="E203" s="1">
        <f>IF(D203="ストーリー", INT((COUNTIF($D$2:D203, "ストーリー")-1)/3) + 1, "NA")</f>
        <v/>
      </c>
      <c r="F203" s="1" t="inlineStr">
        <is>
          <t>単語の意味を選択してください。</t>
        </is>
      </c>
      <c r="G203" s="8" t="inlineStr">
        <is>
          <t>1. 消える
2. 現れる
3. ひっぱる
4. 出る</t>
        </is>
      </c>
      <c r="H203" s="1" t="n">
        <v>1</v>
      </c>
      <c r="I203" s="9" t="inlineStr">
        <is>
          <t>aKtnFzveQJ4</t>
        </is>
      </c>
      <c r="J203" s="2" t="inlineStr">
        <is>
          <t>目の前からフッと物が消えてしまうイメージ。動きが格好いい手話TOP10には入るのではないだろうか。</t>
        </is>
      </c>
      <c r="K203" s="1" t="n"/>
    </row>
    <row r="204" ht="63" customHeight="1">
      <c r="A204" s="1">
        <f>ROW()-1</f>
        <v/>
      </c>
      <c r="B204" s="1" t="n">
        <v>2025</v>
      </c>
      <c r="C204" s="1" t="n">
        <v>3</v>
      </c>
      <c r="D204" s="1" t="inlineStr">
        <is>
          <t>基本単語</t>
        </is>
      </c>
      <c r="E204" s="1">
        <f>IF(D204="ストーリー", INT((COUNTIF($D$2:D204, "ストーリー")-1)/3) + 1, "NA")</f>
        <v/>
      </c>
      <c r="F204" s="1" t="inlineStr">
        <is>
          <t>単語の意味を選択してください。</t>
        </is>
      </c>
      <c r="G204" s="8" t="inlineStr">
        <is>
          <t>1. あなご
2. さば
3. たい
4. かつお</t>
        </is>
      </c>
      <c r="H204" s="1" t="n">
        <v>1</v>
      </c>
      <c r="I204" s="9" t="inlineStr">
        <is>
          <t>3pz67YaAQQg</t>
        </is>
      </c>
      <c r="J204" s="2" t="inlineStr">
        <is>
          <t>アナゴの…ヒレ？を指文字アで表現していると思われる。</t>
        </is>
      </c>
      <c r="K204" s="1" t="n"/>
    </row>
    <row r="205" ht="63" customHeight="1">
      <c r="A205" s="1">
        <f>ROW()-1</f>
        <v/>
      </c>
      <c r="B205" s="1" t="n">
        <v>2025</v>
      </c>
      <c r="C205" s="1" t="n">
        <v>3</v>
      </c>
      <c r="D205" s="1" t="inlineStr">
        <is>
          <t>基本単語</t>
        </is>
      </c>
      <c r="E205" s="1">
        <f>IF(D205="ストーリー", INT((COUNTIF($D$2:D205, "ストーリー")-1)/3) + 1, "NA")</f>
        <v/>
      </c>
      <c r="F205" s="1" t="inlineStr">
        <is>
          <t>単語の意味を選択してください。</t>
        </is>
      </c>
      <c r="G205" s="8" t="inlineStr">
        <is>
          <t>1. 読話（する）
2. 発表
3. 会話
4. 言語</t>
        </is>
      </c>
      <c r="H205" s="1" t="n">
        <v>1</v>
      </c>
      <c r="I205" s="9" t="inlineStr">
        <is>
          <t>u2siEK-blec</t>
        </is>
      </c>
      <c r="J205" s="2" t="inlineStr">
        <is>
          <t>読話とは口の形を読んで話している内容を理解すること。そのような意味を捉えて口の辺りで【読み取る】を表しているのだと思うが、「口を」読んでいるのであって「口で」読んでいるのでこの表現は少しおかしいような気もする。</t>
        </is>
      </c>
      <c r="K205" s="1" t="n"/>
    </row>
    <row r="206" ht="63" customHeight="1">
      <c r="A206" s="1">
        <f>ROW()-1</f>
        <v/>
      </c>
      <c r="B206" s="1" t="n">
        <v>2025</v>
      </c>
      <c r="C206" s="1" t="n">
        <v>3</v>
      </c>
      <c r="D206" s="1" t="inlineStr">
        <is>
          <t>基本単語</t>
        </is>
      </c>
      <c r="E206" s="1">
        <f>IF(D206="ストーリー", INT((COUNTIF($D$2:D206, "ストーリー")-1)/3) + 1, "NA")</f>
        <v/>
      </c>
      <c r="F206" s="1" t="inlineStr">
        <is>
          <t>単語の意味を選択してください。</t>
        </is>
      </c>
      <c r="G206" s="8" t="inlineStr">
        <is>
          <t>1. しょうゆ
2. みそ
3. ソース
4. 塩</t>
        </is>
      </c>
      <c r="H206" s="1" t="n">
        <v>3</v>
      </c>
      <c r="I206" s="9" t="inlineStr">
        <is>
          <t>Jkqdd5rk-fA</t>
        </is>
      </c>
      <c r="J206" s="2" t="inlineStr">
        <is>
          <t>【辛い】+（容器を回す様子）で表現されている。個人的には（容器を回す様子）のみで表現する。</t>
        </is>
      </c>
      <c r="K206" s="1" t="n"/>
    </row>
    <row r="207" ht="63" customHeight="1">
      <c r="A207" s="1">
        <f>ROW()-1</f>
        <v/>
      </c>
      <c r="B207" s="1" t="n">
        <v>2025</v>
      </c>
      <c r="C207" s="1" t="n">
        <v>3</v>
      </c>
      <c r="D207" s="1" t="inlineStr">
        <is>
          <t>基本単語</t>
        </is>
      </c>
      <c r="E207" s="1">
        <f>IF(D207="ストーリー", INT((COUNTIF($D$2:D207, "ストーリー")-1)/3) + 1, "NA")</f>
        <v/>
      </c>
      <c r="F207" s="1" t="inlineStr">
        <is>
          <t>単語の意味を選択してください。</t>
        </is>
      </c>
      <c r="G207" s="8" t="inlineStr">
        <is>
          <t>1. 額（ほお）
2. 耳
3. 鼻
4. 首</t>
        </is>
      </c>
      <c r="H207" s="1" t="n">
        <v>1</v>
      </c>
      <c r="I207" s="9" t="inlineStr">
        <is>
          <t>Ejjfl3l0qBI</t>
        </is>
      </c>
      <c r="J207" s="2" t="inlineStr">
        <is>
          <t>ほほの辺りで手を動かしている。顔周りで動かす手話で実際に皮膚に触りながら表している人がたまにいるが別に触らなくてもよい。</t>
        </is>
      </c>
      <c r="K207" s="1" t="n"/>
    </row>
    <row r="208" ht="63" customHeight="1">
      <c r="A208" s="1">
        <f>ROW()-1</f>
        <v/>
      </c>
      <c r="B208" s="1" t="n">
        <v>2025</v>
      </c>
      <c r="C208" s="1" t="n">
        <v>3</v>
      </c>
      <c r="D208" s="1" t="inlineStr">
        <is>
          <t>基本単語</t>
        </is>
      </c>
      <c r="E208" s="1">
        <f>IF(D208="ストーリー", INT((COUNTIF($D$2:D208, "ストーリー")-1)/3) + 1, "NA")</f>
        <v/>
      </c>
      <c r="F208" s="1" t="inlineStr">
        <is>
          <t>単語の意味を選択してください。</t>
        </is>
      </c>
      <c r="G208" s="8" t="inlineStr">
        <is>
          <t>1. 西海
2. 南海
3. 東海
4. 北海</t>
        </is>
      </c>
      <c r="H208" s="1" t="n">
        <v>3</v>
      </c>
      <c r="I208" s="9" t="inlineStr">
        <is>
          <t>YEChP8DHHJQ</t>
        </is>
      </c>
      <c r="J208" s="2" t="inlineStr">
        <is>
          <t>【東】+【海】。いわゆるイーストブルー。</t>
        </is>
      </c>
      <c r="K208" s="1" t="n"/>
    </row>
    <row r="209" ht="63" customHeight="1">
      <c r="A209" s="1">
        <f>ROW()-1</f>
        <v/>
      </c>
      <c r="B209" s="1" t="n">
        <v>2025</v>
      </c>
      <c r="C209" s="1" t="n">
        <v>3</v>
      </c>
      <c r="D209" s="1" t="inlineStr">
        <is>
          <t>基本単語</t>
        </is>
      </c>
      <c r="E209" s="1">
        <f>IF(D209="ストーリー", INT((COUNTIF($D$2:D209, "ストーリー")-1)/3) + 1, "NA")</f>
        <v/>
      </c>
      <c r="F209" s="1" t="inlineStr">
        <is>
          <t>単語の意味を選択してください。</t>
        </is>
      </c>
      <c r="G209" s="8" t="inlineStr">
        <is>
          <t>1. 喜び
2. 悲しみ
3. 苦しみ
4. 悩み</t>
        </is>
      </c>
      <c r="H209" s="1" t="n">
        <v>4</v>
      </c>
      <c r="I209" s="9" t="inlineStr">
        <is>
          <t>szqR8hqYx00</t>
        </is>
      </c>
      <c r="J209" s="2" t="inlineStr">
        <is>
          <t>頭が悩ませている様子。回っているのは頭が回るという言葉からで、これが食い違って止まってしまう表現が【思考停止】である。</t>
        </is>
      </c>
      <c r="K209" s="1" t="n"/>
    </row>
    <row r="210" ht="63" customHeight="1">
      <c r="A210" s="1">
        <f>ROW()-1</f>
        <v/>
      </c>
      <c r="B210" s="1" t="n">
        <v>2025</v>
      </c>
      <c r="C210" s="1" t="n">
        <v>3</v>
      </c>
      <c r="D210" s="1" t="inlineStr">
        <is>
          <t>基本単語</t>
        </is>
      </c>
      <c r="E210" s="1">
        <f>IF(D210="ストーリー", INT((COUNTIF($D$2:D210, "ストーリー")-1)/3) + 1, "NA")</f>
        <v/>
      </c>
      <c r="F210" s="1" t="inlineStr">
        <is>
          <t>単語の意味を選択してください。</t>
        </is>
      </c>
      <c r="G210" s="8" t="inlineStr">
        <is>
          <t>1. 固い
2. 厳しい
3. かたい
4. 柔らかい</t>
        </is>
      </c>
      <c r="H210" s="1" t="n">
        <v>4</v>
      </c>
      <c r="I210" s="9" t="inlineStr">
        <is>
          <t>pMVHoF6_KB8</t>
        </is>
      </c>
      <c r="J210" s="2" t="inlineStr">
        <is>
          <t>触れて形が変えられるほど柔らかいものをつかんでいるしぐさ。手話単語【固い】にはさまざまな用法があるが【柔らかい】はそこまで複雑ではない印象がある。</t>
        </is>
      </c>
      <c r="K210" s="1" t="n"/>
    </row>
    <row r="211" ht="63" customHeight="1">
      <c r="A211" s="1">
        <f>ROW()-1</f>
        <v/>
      </c>
      <c r="B211" s="1" t="n">
        <v>2025</v>
      </c>
      <c r="C211" s="1" t="n">
        <v>3</v>
      </c>
      <c r="D211" s="1" t="inlineStr">
        <is>
          <t>基本単語</t>
        </is>
      </c>
      <c r="E211" s="1">
        <f>IF(D211="ストーリー", INT((COUNTIF($D$2:D211, "ストーリー")-1)/3) + 1, "NA")</f>
        <v/>
      </c>
      <c r="F211" s="1" t="inlineStr">
        <is>
          <t>単語の意味を選択してください。</t>
        </is>
      </c>
      <c r="G211" s="8" t="inlineStr">
        <is>
          <t>1. 歴史
2. 文化
3. 科学
4. 政治</t>
        </is>
      </c>
      <c r="H211" s="1" t="n">
        <v>1</v>
      </c>
      <c r="I211" s="9" t="inlineStr">
        <is>
          <t>JmjOXKCRhHs</t>
        </is>
      </c>
      <c r="J211" s="2" t="inlineStr">
        <is>
          <t>親指と小指が立っている表現は社会・歴史など人に関わるものが多い。これは親指は男性を、小指は女性を表しており、その両方が立っている手話は男性・女性＝人間全体を包含するイメージであるというところからきているらしい。【電話】は違う。</t>
        </is>
      </c>
      <c r="K211" s="1" t="n"/>
    </row>
    <row r="212" ht="63" customHeight="1">
      <c r="A212" s="1">
        <f>ROW()-1</f>
        <v/>
      </c>
      <c r="B212" s="1" t="n">
        <v>2025</v>
      </c>
      <c r="C212" s="1" t="n">
        <v>3</v>
      </c>
      <c r="D212" s="1" t="inlineStr">
        <is>
          <t>基本単語</t>
        </is>
      </c>
      <c r="E212" s="1">
        <f>IF(D212="ストーリー", INT((COUNTIF($D$2:D212, "ストーリー")-1)/3) + 1, "NA")</f>
        <v/>
      </c>
      <c r="F212" s="1" t="inlineStr">
        <is>
          <t>単語の意味を選択してください。</t>
        </is>
      </c>
      <c r="G212" s="8" t="inlineStr">
        <is>
          <t>1. ライバル
2. 友達
3. 仲間
4. 敵</t>
        </is>
      </c>
      <c r="H212" s="1" t="n">
        <v>1</v>
      </c>
      <c r="I212" s="9" t="inlineStr">
        <is>
          <t>0UjRGfgn6Qw</t>
        </is>
      </c>
      <c r="J212" s="2" t="inlineStr">
        <is>
          <t>親指は人をイメージしており、2人の人が「より相手より高みへ」と競い合っているさまを表している。【試験】なども同じ表現。</t>
        </is>
      </c>
      <c r="K212" s="1" t="n"/>
    </row>
    <row r="213" ht="63" customHeight="1">
      <c r="A213" s="1">
        <f>ROW()-1</f>
        <v/>
      </c>
      <c r="B213" s="1" t="n">
        <v>2025</v>
      </c>
      <c r="C213" s="1" t="n">
        <v>3</v>
      </c>
      <c r="D213" s="1" t="inlineStr">
        <is>
          <t>基本単語</t>
        </is>
      </c>
      <c r="E213" s="1">
        <f>IF(D213="ストーリー", INT((COUNTIF($D$2:D213, "ストーリー")-1)/3) + 1, "NA")</f>
        <v/>
      </c>
      <c r="F213" s="1" t="inlineStr">
        <is>
          <t>単語の意味を選択してください。</t>
        </is>
      </c>
      <c r="G213" s="8" t="inlineStr">
        <is>
          <t>1. 天ぷら
2. すし
3. うどん
4. そば</t>
        </is>
      </c>
      <c r="H213" s="1" t="n">
        <v>1</v>
      </c>
      <c r="I213" s="9" t="inlineStr">
        <is>
          <t>sPnCjWhEuxo</t>
        </is>
      </c>
      <c r="J213" s="2" t="inlineStr">
        <is>
          <t>【油】+（油で揚げる様子）。油がない場合は「しゃぶしゃぶ」などにもこの動きは用いられることがある。</t>
        </is>
      </c>
      <c r="K213" s="1" t="n"/>
    </row>
    <row r="214" ht="63" customHeight="1">
      <c r="A214" s="1">
        <f>ROW()-1</f>
        <v/>
      </c>
      <c r="B214" s="1" t="n">
        <v>2025</v>
      </c>
      <c r="C214" s="1" t="n">
        <v>3</v>
      </c>
      <c r="D214" s="1" t="inlineStr">
        <is>
          <t>基本単語</t>
        </is>
      </c>
      <c r="E214" s="1">
        <f>IF(D214="ストーリー", INT((COUNTIF($D$2:D214, "ストーリー")-1)/3) + 1, "NA")</f>
        <v/>
      </c>
      <c r="F214" s="1" t="inlineStr">
        <is>
          <t>単語の意味を選択してください。</t>
        </is>
      </c>
      <c r="G214" s="8" t="inlineStr">
        <is>
          <t>1. 苦しい
2. 悲しい
3. 痛い
4. 怖い</t>
        </is>
      </c>
      <c r="H214" s="1" t="n">
        <v>1</v>
      </c>
      <c r="I214" s="9" t="inlineStr">
        <is>
          <t>94TSkzqbpoE</t>
        </is>
      </c>
      <c r="J214" s="2" t="inlineStr">
        <is>
          <t>胸をかきむしる様子。片手で表現する場合もある。その場合は心臓の辺りをかきむしるようにする。</t>
        </is>
      </c>
      <c r="K214" s="1" t="n"/>
    </row>
    <row r="215" ht="63" customHeight="1">
      <c r="A215" s="1">
        <f>ROW()-1</f>
        <v/>
      </c>
      <c r="B215" s="1" t="n">
        <v>2025</v>
      </c>
      <c r="C215" s="1" t="n">
        <v>3</v>
      </c>
      <c r="D215" s="1" t="inlineStr">
        <is>
          <t>基本単語</t>
        </is>
      </c>
      <c r="E215" s="1">
        <f>IF(D215="ストーリー", INT((COUNTIF($D$2:D215, "ストーリー")-1)/3) + 1, "NA")</f>
        <v/>
      </c>
      <c r="F215" s="1" t="inlineStr">
        <is>
          <t>単語の意味を選択してください。</t>
        </is>
      </c>
      <c r="G215" s="8" t="inlineStr">
        <is>
          <t>1. ごま
2. 塩
3. しょうゆ
4. 味噌</t>
        </is>
      </c>
      <c r="H215" s="1" t="n">
        <v>1</v>
      </c>
      <c r="I215" s="9" t="inlineStr">
        <is>
          <t>GF-MsAh8en4</t>
        </is>
      </c>
      <c r="J215" s="2" t="inlineStr">
        <is>
          <t>ごまをパラパラ落としているのだと思われる。だが、個人的には見たことがない。ごまの特徴が表されているわけではないので実用するにはもう少し補足情報が必要か？</t>
        </is>
      </c>
      <c r="K215" s="1" t="n"/>
    </row>
    <row r="216" ht="63" customHeight="1">
      <c r="A216" s="1">
        <f>ROW()-1</f>
        <v/>
      </c>
      <c r="B216" s="1" t="n">
        <v>2025</v>
      </c>
      <c r="C216" s="1" t="n">
        <v>3</v>
      </c>
      <c r="D216" s="1" t="inlineStr">
        <is>
          <t>基本単語</t>
        </is>
      </c>
      <c r="E216" s="1">
        <f>IF(D216="ストーリー", INT((COUNTIF($D$2:D216, "ストーリー")-1)/3) + 1, "NA")</f>
        <v/>
      </c>
      <c r="F216" s="1" t="inlineStr">
        <is>
          <t>単語の意味を選択してください。</t>
        </is>
      </c>
      <c r="G216" s="8" t="inlineStr">
        <is>
          <t>1. 発表会
2. 会議
3. 講義
4. 集会</t>
        </is>
      </c>
      <c r="H216" s="1" t="n">
        <v>1</v>
      </c>
      <c r="I216" s="9" t="inlineStr">
        <is>
          <t>F7zxgP7ayAw</t>
        </is>
      </c>
      <c r="J216" s="2" t="inlineStr">
        <is>
          <t>【発表】+【会】。【会】の手話は【家】とは異なり、作った屋根を一瞬離すような動きを加える。だが、その動きをしない人も多い。</t>
        </is>
      </c>
      <c r="K216" s="1" t="n"/>
    </row>
    <row r="217" ht="63" customHeight="1">
      <c r="A217" s="1">
        <f>ROW()-1</f>
        <v/>
      </c>
      <c r="B217" s="1" t="n">
        <v>2025</v>
      </c>
      <c r="C217" s="1" t="n">
        <v>3</v>
      </c>
      <c r="D217" s="1" t="inlineStr">
        <is>
          <t>基本単語</t>
        </is>
      </c>
      <c r="E217" s="1">
        <f>IF(D217="ストーリー", INT((COUNTIF($D$2:D217, "ストーリー")-1)/3) + 1, "NA")</f>
        <v/>
      </c>
      <c r="F217" s="1" t="inlineStr">
        <is>
          <t>単語の意味を選択してください。</t>
        </is>
      </c>
      <c r="G217" s="8" t="inlineStr">
        <is>
          <t>1. 延長（する）
2. 開始
3. 短縮
4. 中止</t>
        </is>
      </c>
      <c r="H217" s="1" t="n">
        <v>1</v>
      </c>
      <c r="I217" s="9" t="inlineStr">
        <is>
          <t>2VMTTqYq_L0</t>
        </is>
      </c>
      <c r="J217" s="2" t="inlineStr">
        <is>
          <t>ある決まったスケジュール期間がずれてしまうイメージ。</t>
        </is>
      </c>
      <c r="K217" s="1" t="n"/>
    </row>
    <row r="218" ht="63" customHeight="1">
      <c r="A218" s="1">
        <f>ROW()-1</f>
        <v/>
      </c>
      <c r="B218" s="1" t="n">
        <v>2025</v>
      </c>
      <c r="C218" s="1" t="n">
        <v>3</v>
      </c>
      <c r="D218" s="1" t="inlineStr">
        <is>
          <t>基本単語</t>
        </is>
      </c>
      <c r="E218" s="1">
        <f>IF(D218="ストーリー", INT((COUNTIF($D$2:D218, "ストーリー")-1)/3) + 1, "NA")</f>
        <v/>
      </c>
      <c r="F218" s="1" t="inlineStr">
        <is>
          <t>単語の意味を選択してください。</t>
        </is>
      </c>
      <c r="G218" s="8" t="inlineStr">
        <is>
          <t>1. 顔
2. 髪
3. 目
4. 手</t>
        </is>
      </c>
      <c r="H218" s="1" t="n">
        <v>1</v>
      </c>
      <c r="I218" s="9" t="inlineStr">
        <is>
          <t>DIcg_hjwA3E</t>
        </is>
      </c>
      <c r="J218" s="2" t="inlineStr">
        <is>
          <t>顔の周りを指し示す。一応手話単語は存在するが「顔」「髪」「耳」「服」などは実際にその場所に触れれば相手に伝えることができる。その際、口話は忘れないようにした方がよい。</t>
        </is>
      </c>
      <c r="K218" s="1" t="n"/>
    </row>
    <row r="219" ht="63" customHeight="1">
      <c r="A219" s="1">
        <f>ROW()-1</f>
        <v/>
      </c>
      <c r="B219" s="1" t="n">
        <v>2025</v>
      </c>
      <c r="C219" s="1" t="n">
        <v>3</v>
      </c>
      <c r="D219" s="1" t="inlineStr">
        <is>
          <t>基本単語</t>
        </is>
      </c>
      <c r="E219" s="1">
        <f>IF(D219="ストーリー", INT((COUNTIF($D$2:D219, "ストーリー")-1)/3) + 1, "NA")</f>
        <v/>
      </c>
      <c r="F219" s="1" t="inlineStr">
        <is>
          <t>単語の意味を選択してください。</t>
        </is>
      </c>
      <c r="G219" s="8" t="inlineStr">
        <is>
          <t>1. 退学
2. 卒業
3. 入学
4. 休学</t>
        </is>
      </c>
      <c r="H219" s="1" t="n">
        <v>1</v>
      </c>
      <c r="I219" s="9" t="inlineStr">
        <is>
          <t>lZ627f7uzF0</t>
        </is>
      </c>
      <c r="J219" s="2" t="inlineStr">
        <is>
          <t>【学校】【辞める】で表現する。この【辞める】はquiteなわけだが「手話を辞める」という文脈で表現した際に「適切ではない」というコメントを受けたことがある。どの程度をカバーしているかはいまだ不明。</t>
        </is>
      </c>
      <c r="K219" s="1" t="n"/>
    </row>
    <row r="220" ht="63" customHeight="1">
      <c r="A220" s="1">
        <f>ROW()-1</f>
        <v/>
      </c>
      <c r="B220" s="1" t="n">
        <v>2025</v>
      </c>
      <c r="C220" s="1" t="n">
        <v>3</v>
      </c>
      <c r="D220" s="1" t="inlineStr">
        <is>
          <t>基本単語</t>
        </is>
      </c>
      <c r="E220" s="1">
        <f>IF(D220="ストーリー", INT((COUNTIF($D$2:D220, "ストーリー")-1)/3) + 1, "NA")</f>
        <v/>
      </c>
      <c r="F220" s="1" t="inlineStr">
        <is>
          <t>単語の意味を選択してください。</t>
        </is>
      </c>
      <c r="G220" s="8" t="inlineStr">
        <is>
          <t>1. なめこ
2. しいたけ
3. まつたけ
4. えのき</t>
        </is>
      </c>
      <c r="H220" s="1" t="n">
        <v>1</v>
      </c>
      <c r="I220" s="9" t="inlineStr">
        <is>
          <t>kayCHVlQewI</t>
        </is>
      </c>
      <c r="J220" s="2" t="inlineStr">
        <is>
          <t>個人的には見たことがない。キノコを表すことはある。</t>
        </is>
      </c>
      <c r="K220" s="1" t="n"/>
    </row>
    <row r="221" ht="63" customHeight="1">
      <c r="A221" s="1">
        <f>ROW()-1</f>
        <v/>
      </c>
      <c r="B221" s="1" t="n">
        <v>2025</v>
      </c>
      <c r="C221" s="1" t="n">
        <v>2</v>
      </c>
      <c r="D221" s="1" t="inlineStr">
        <is>
          <t>基本単語</t>
        </is>
      </c>
      <c r="E221" s="1">
        <f>IF(D221="ストーリー", INT((COUNTIF($D$2:D221, "ストーリー")-1)/3) + 1, "NA")</f>
        <v/>
      </c>
      <c r="F221" s="1" t="inlineStr">
        <is>
          <t>単語の意味を選択してください。</t>
        </is>
      </c>
      <c r="G221" s="8" t="inlineStr">
        <is>
          <t>1. 人工内耳
2. 補聴器
3. 聴診器
4. イヤホン</t>
        </is>
      </c>
      <c r="H221" s="1" t="n">
        <v>1</v>
      </c>
      <c r="I221" s="9" t="inlineStr">
        <is>
          <t>wokdu7sfAlQ</t>
        </is>
      </c>
      <c r="J221" s="2" t="inlineStr">
        <is>
          <t>人工内耳とは補聴器での装用効果が不十分である方に取りつけることがある人工臓器。このほかにも5本指で表すこともある。この5本指は【機械】の手話から来ている。</t>
        </is>
      </c>
      <c r="K221" s="1" t="n"/>
    </row>
    <row r="222" ht="63" customHeight="1">
      <c r="A222" s="1">
        <f>ROW()-1</f>
        <v/>
      </c>
      <c r="B222" s="1" t="n">
        <v>2025</v>
      </c>
      <c r="C222" s="1" t="n">
        <v>2</v>
      </c>
      <c r="D222" s="1" t="inlineStr">
        <is>
          <t>基本単語</t>
        </is>
      </c>
      <c r="E222" s="1">
        <f>IF(D222="ストーリー", INT((COUNTIF($D$2:D222, "ストーリー")-1)/3) + 1, "NA")</f>
        <v/>
      </c>
      <c r="F222" s="1" t="inlineStr">
        <is>
          <t>単語の意味を選択してください。</t>
        </is>
      </c>
      <c r="G222" s="8" t="inlineStr">
        <is>
          <t>1. 空気
2. 周囲
3. 雰囲気
4. 環境</t>
        </is>
      </c>
      <c r="H222" s="1" t="n">
        <v>4</v>
      </c>
      <c r="I222" s="9" t="inlineStr">
        <is>
          <t>nRI3ACpl-9w</t>
        </is>
      </c>
      <c r="J222" s="2" t="inlineStr">
        <is>
          <t>親指が人間を表しており、その周りということで【環境】。このほかにも【守る】という手話で【環境】と表す人もいる。ただこれは【守る】という認識をしている人からは「間違ってますよ」と批判されることもあるので区別のために【環境】を覚えておいた方がよいかもしれない。</t>
        </is>
      </c>
      <c r="K222" s="1" t="n"/>
    </row>
    <row r="223" ht="63" customHeight="1">
      <c r="A223" s="1">
        <f>ROW()-1</f>
        <v/>
      </c>
      <c r="B223" s="1" t="n">
        <v>2025</v>
      </c>
      <c r="C223" s="1" t="n">
        <v>2</v>
      </c>
      <c r="D223" s="1" t="inlineStr">
        <is>
          <t>基本単語</t>
        </is>
      </c>
      <c r="E223" s="1">
        <f>IF(D223="ストーリー", INT((COUNTIF($D$2:D223, "ストーリー")-1)/3) + 1, "NA")</f>
        <v/>
      </c>
      <c r="F223" s="1" t="inlineStr">
        <is>
          <t>単語の意味を選択してください。</t>
        </is>
      </c>
      <c r="G223" s="8" t="inlineStr">
        <is>
          <t>1. 感染
2. アレルギー
3. 疲労
4. 病気</t>
        </is>
      </c>
      <c r="H223" s="1" t="n">
        <v>2</v>
      </c>
      <c r="I223" s="9" t="inlineStr">
        <is>
          <t>r74pKbsKC2U</t>
        </is>
      </c>
      <c r="J223" s="2" t="inlineStr">
        <is>
          <t>【合わない】という手話をベースにし利き手側の手を指文字アにした合体表現。腕などを搔くことによって「アレルギー」を表すこともある。いずれにしても口話を大きく動かした方がよいかもしれない。</t>
        </is>
      </c>
      <c r="K223" s="1" t="n"/>
    </row>
    <row r="224" ht="63" customHeight="1">
      <c r="A224" s="1">
        <f>ROW()-1</f>
        <v/>
      </c>
      <c r="B224" s="1" t="n">
        <v>2025</v>
      </c>
      <c r="C224" s="1" t="n">
        <v>2</v>
      </c>
      <c r="D224" s="1" t="inlineStr">
        <is>
          <t>基本単語</t>
        </is>
      </c>
      <c r="E224" s="1">
        <f>IF(D224="ストーリー", INT((COUNTIF($D$2:D224, "ストーリー")-1)/3) + 1, "NA")</f>
        <v/>
      </c>
      <c r="F224" s="1" t="inlineStr">
        <is>
          <t>単語の意味を選択してください。</t>
        </is>
      </c>
      <c r="G224" s="8" t="inlineStr">
        <is>
          <t>1. 感染
2. 発熱
3. 病気
4. 流行</t>
        </is>
      </c>
      <c r="H224" s="1" t="n">
        <v>1</v>
      </c>
      <c r="I224" s="9" t="inlineStr">
        <is>
          <t>jFdDW0_Khwo</t>
        </is>
      </c>
      <c r="J224" s="2" t="inlineStr">
        <is>
          <t>病原菌が体の中に入ってくる様子。この表現は「他人から感染してしまう」ということだが教本から参照できる映像では逆に「自分から他人に感染させてしまう」表現だった。</t>
        </is>
      </c>
      <c r="K224" s="1" t="n"/>
    </row>
    <row r="225" ht="63" customHeight="1">
      <c r="A225" s="1">
        <f>ROW()-1</f>
        <v/>
      </c>
      <c r="B225" s="1" t="n">
        <v>2025</v>
      </c>
      <c r="C225" s="1" t="n">
        <v>2</v>
      </c>
      <c r="D225" s="1" t="inlineStr">
        <is>
          <t>基本単語</t>
        </is>
      </c>
      <c r="E225" s="1">
        <f>IF(D225="ストーリー", INT((COUNTIF($D$2:D225, "ストーリー")-1)/3) + 1, "NA")</f>
        <v/>
      </c>
      <c r="F225" s="1" t="inlineStr">
        <is>
          <t>単語の意味を選択してください。</t>
        </is>
      </c>
      <c r="G225" s="8" t="inlineStr">
        <is>
          <t>1. 制度
2. 準拠
3. 規則
4. 約束</t>
        </is>
      </c>
      <c r="H225" s="1" t="n">
        <v>3</v>
      </c>
      <c r="I225" s="9" t="inlineStr">
        <is>
          <t>G3yRNGaqV0I</t>
        </is>
      </c>
      <c r="J225" s="2" t="inlineStr">
        <is>
          <t>【法律】という手話。裁判長が持つ木槌「ガベル」を表しているという説がある。</t>
        </is>
      </c>
      <c r="K225" s="1" t="n"/>
    </row>
    <row r="226" ht="63" customHeight="1">
      <c r="A226" s="1">
        <f>ROW()-1</f>
        <v/>
      </c>
      <c r="B226" s="1" t="n">
        <v>2025</v>
      </c>
      <c r="C226" s="1" t="n">
        <v>2</v>
      </c>
      <c r="D226" s="1" t="inlineStr">
        <is>
          <t>基本単語</t>
        </is>
      </c>
      <c r="E226" s="1">
        <f>IF(D226="ストーリー", INT((COUNTIF($D$2:D226, "ストーリー")-1)/3) + 1, "NA")</f>
        <v/>
      </c>
      <c r="F226" s="1" t="inlineStr">
        <is>
          <t>単語の意味を選択してください。</t>
        </is>
      </c>
      <c r="G226" s="8" t="inlineStr">
        <is>
          <t>1. 判断
2. 評価
3. 意見
4. 評判</t>
        </is>
      </c>
      <c r="H226" s="1" t="n">
        <v>4</v>
      </c>
      <c r="I226" s="9" t="inlineStr">
        <is>
          <t>hsQUbTz_-J0</t>
        </is>
      </c>
      <c r="J226" s="2" t="inlineStr">
        <is>
          <t>【しゃべる】+【うわさ】で表現されている。個人的には【うわさ】のみでよいのではないだろうかと思う。</t>
        </is>
      </c>
      <c r="K226" s="1" t="n"/>
    </row>
    <row r="227" ht="63" customHeight="1">
      <c r="A227" s="1">
        <f>ROW()-1</f>
        <v/>
      </c>
      <c r="B227" s="1" t="n">
        <v>2025</v>
      </c>
      <c r="C227" s="1" t="n">
        <v>2</v>
      </c>
      <c r="D227" s="1" t="inlineStr">
        <is>
          <t>基本単語</t>
        </is>
      </c>
      <c r="E227" s="1">
        <f>IF(D227="ストーリー", INT((COUNTIF($D$2:D227, "ストーリー")-1)/3) + 1, "NA")</f>
        <v/>
      </c>
      <c r="F227" s="1" t="inlineStr">
        <is>
          <t>単語の意味を選択してください。</t>
        </is>
      </c>
      <c r="G227" s="8" t="inlineStr">
        <is>
          <t>1. 約束
2. パスワード
3. 静寂
4. 合言葉</t>
        </is>
      </c>
      <c r="H227" s="1" t="n">
        <v>2</v>
      </c>
      <c r="I227" s="1" t="inlineStr">
        <is>
          <t>FxmzMthx6rw</t>
        </is>
      </c>
      <c r="J227" s="2" t="inlineStr">
        <is>
          <t>【秘密】+（パスワード入力エリア あるいは単語？）で表現されていると思われる。後半の表現は普通に【単語】でも問題ないはず。</t>
        </is>
      </c>
      <c r="K227" s="1" t="n"/>
    </row>
    <row r="228" ht="63" customHeight="1">
      <c r="A228" s="1">
        <f>ROW()-1</f>
        <v/>
      </c>
      <c r="B228" s="1" t="n">
        <v>2025</v>
      </c>
      <c r="C228" s="1" t="n">
        <v>2</v>
      </c>
      <c r="D228" s="1" t="inlineStr">
        <is>
          <t>基本単語</t>
        </is>
      </c>
      <c r="E228" s="1">
        <f>IF(D228="ストーリー", INT((COUNTIF($D$2:D228, "ストーリー")-1)/3) + 1, "NA")</f>
        <v/>
      </c>
      <c r="F228" s="1" t="inlineStr">
        <is>
          <t>単語の意味を選択してください。</t>
        </is>
      </c>
      <c r="G228" s="8" t="inlineStr">
        <is>
          <t>1. 救急
2. 環境
3. フォローアップ
4. アクセシビリティ</t>
        </is>
      </c>
      <c r="H228" s="1" t="n">
        <v>3</v>
      </c>
      <c r="I228" s="1" t="inlineStr">
        <is>
          <t>w5nWwpr7Os8</t>
        </is>
      </c>
      <c r="J228" s="2" t="inlineStr">
        <is>
          <t>人に見立てた人差し指を囲う【守る】とそれを推す【助ける】を続けていると思われる。教本にはカタカナ語も手話化しているので覚えようとあるが新しく定義された表現を手話話者が新しく学んでいるのかは微妙なところ。</t>
        </is>
      </c>
      <c r="K228" s="1" t="n"/>
    </row>
    <row r="229" ht="63" customHeight="1">
      <c r="A229" s="1">
        <f>ROW()-1</f>
        <v/>
      </c>
      <c r="B229" s="1" t="n">
        <v>2025</v>
      </c>
      <c r="C229" s="1" t="inlineStr">
        <is>
          <t>準1</t>
        </is>
      </c>
      <c r="D229" s="1" t="inlineStr">
        <is>
          <t>基本単語</t>
        </is>
      </c>
      <c r="E229" s="1">
        <f>IF(D229="ストーリー", INT((COUNTIF($D$2:D229, "ストーリー")-1)/3) + 1, "NA")</f>
        <v/>
      </c>
      <c r="F229" s="1" t="inlineStr">
        <is>
          <t>単語の意味を選択してください。</t>
        </is>
      </c>
      <c r="G229" s="8" t="inlineStr">
        <is>
          <t>1. 新聞
2. 情報
3. 報道
4. マスコミ</t>
        </is>
      </c>
      <c r="H229" s="1" t="n">
        <v>4</v>
      </c>
      <c r="I229" s="9" t="inlineStr">
        <is>
          <t>RMbgBJaoxxs</t>
        </is>
      </c>
      <c r="J229" s="2" t="inlineStr">
        <is>
          <t>個人的には見たことがない。スピーチ課題の時に試験官に表現したら読み取ってくれるのだろうか？</t>
        </is>
      </c>
      <c r="K229" s="1" t="n"/>
    </row>
    <row r="230" ht="63" customHeight="1">
      <c r="A230" s="1">
        <f>ROW()-1</f>
        <v/>
      </c>
      <c r="B230" s="1" t="n">
        <v>2025</v>
      </c>
      <c r="C230" s="1" t="inlineStr">
        <is>
          <t>準1</t>
        </is>
      </c>
      <c r="D230" s="1" t="inlineStr">
        <is>
          <t>基本単語</t>
        </is>
      </c>
      <c r="E230" s="1">
        <f>IF(D230="ストーリー", INT((COUNTIF($D$2:D230, "ストーリー")-1)/3) + 1, "NA")</f>
        <v/>
      </c>
      <c r="F230" s="1" t="inlineStr">
        <is>
          <t>単語の意味を選択してください。</t>
        </is>
      </c>
      <c r="G230" s="8" t="inlineStr">
        <is>
          <t>1. 書籍
2. 言語
3. 会話
4. 論文</t>
        </is>
      </c>
      <c r="H230" s="1" t="n">
        <v>2</v>
      </c>
      <c r="I230" s="9" t="inlineStr">
        <is>
          <t>sTORIGYj2Yk</t>
        </is>
      </c>
      <c r="J230" s="2" t="inlineStr">
        <is>
          <t>4本の指で口元で手を動かす。なぜ4本なのか？と昔聞かれたことがあるがいまだに分からない。</t>
        </is>
      </c>
      <c r="K230" s="1" t="n"/>
    </row>
    <row r="231" ht="63" customHeight="1">
      <c r="A231" s="1">
        <f>ROW()-1</f>
        <v/>
      </c>
      <c r="B231" s="1" t="n">
        <v>2025</v>
      </c>
      <c r="C231" s="1" t="inlineStr">
        <is>
          <t>準1</t>
        </is>
      </c>
      <c r="D231" s="1" t="inlineStr">
        <is>
          <t>基本単語</t>
        </is>
      </c>
      <c r="E231" s="1">
        <f>IF(D231="ストーリー", INT((COUNTIF($D$2:D231, "ストーリー")-1)/3) + 1, "NA")</f>
        <v/>
      </c>
      <c r="F231" s="1" t="inlineStr">
        <is>
          <t>単語の意味を選択してください。</t>
        </is>
      </c>
      <c r="G231" s="8" t="inlineStr">
        <is>
          <t>1. 枯れる
2. しだれ桜
3. 散る
4. 枝</t>
        </is>
      </c>
      <c r="H231" s="1" t="n">
        <v>1</v>
      </c>
      <c r="I231" s="9" t="inlineStr">
        <is>
          <t>wExth7OI3Oo</t>
        </is>
      </c>
      <c r="J231" s="2" t="inlineStr">
        <is>
          <t>花が枯れる様子から来ていると思われる。見たことがないが確かに意味は伝わってくる。</t>
        </is>
      </c>
      <c r="K231" s="1" t="n"/>
    </row>
    <row r="232" ht="63" customHeight="1">
      <c r="A232" s="1">
        <f>ROW()-1</f>
        <v/>
      </c>
      <c r="B232" s="1" t="n">
        <v>2025</v>
      </c>
      <c r="C232" s="1" t="inlineStr">
        <is>
          <t>準1</t>
        </is>
      </c>
      <c r="D232" s="1" t="inlineStr">
        <is>
          <t>基本単語</t>
        </is>
      </c>
      <c r="E232" s="1">
        <f>IF(D232="ストーリー", INT((COUNTIF($D$2:D232, "ストーリー")-1)/3) + 1, "NA")</f>
        <v/>
      </c>
      <c r="F232" s="1" t="inlineStr">
        <is>
          <t>単語の意味を選択してください。</t>
        </is>
      </c>
      <c r="G232" s="8" t="inlineStr">
        <is>
          <t>1. 細菌
2. ウイルス
3. 微生物
4. 感染</t>
        </is>
      </c>
      <c r="H232" s="1" t="n">
        <v>2</v>
      </c>
      <c r="I232" s="9" t="inlineStr">
        <is>
          <t>QCVMp4ZBLsY</t>
        </is>
      </c>
      <c r="J232" s="2" t="inlineStr">
        <is>
          <t>ウイルスを顕微鏡で覗いている様子。</t>
        </is>
      </c>
      <c r="K232" s="1" t="n"/>
    </row>
    <row r="233" ht="63" customHeight="1">
      <c r="A233" s="1">
        <f>ROW()-1</f>
        <v/>
      </c>
      <c r="B233" s="1" t="n">
        <v>2025</v>
      </c>
      <c r="C233" s="1" t="inlineStr">
        <is>
          <t>準1</t>
        </is>
      </c>
      <c r="D233" s="1" t="inlineStr">
        <is>
          <t>基本単語</t>
        </is>
      </c>
      <c r="E233" s="1">
        <f>IF(D233="ストーリー", INT((COUNTIF($D$2:D233, "ストーリー")-1)/3) + 1, "NA")</f>
        <v/>
      </c>
      <c r="F233" s="1" t="inlineStr">
        <is>
          <t>単語の意味を選択してください。</t>
        </is>
      </c>
      <c r="G233" s="8" t="inlineStr">
        <is>
          <t>1. 人情
2. 義理
3. 義務
4. 責任</t>
        </is>
      </c>
      <c r="H233" s="1" t="n">
        <v>3</v>
      </c>
      <c r="I233" s="9" t="inlineStr">
        <is>
          <t>SKz1iPR0bZc</t>
        </is>
      </c>
      <c r="J233" s="2" t="inlineStr">
        <is>
          <t>個人的にはどこかで数回見たことがある気がする。だが、自分で表す際は【必要】の手話を用いる。</t>
        </is>
      </c>
      <c r="K233" s="1" t="n"/>
    </row>
    <row r="234" ht="63" customHeight="1">
      <c r="A234" s="1">
        <f>ROW()-1</f>
        <v/>
      </c>
      <c r="B234" s="1" t="n">
        <v>2025</v>
      </c>
      <c r="C234" s="1" t="inlineStr">
        <is>
          <t>準1</t>
        </is>
      </c>
      <c r="D234" s="1" t="inlineStr">
        <is>
          <t>基本単語</t>
        </is>
      </c>
      <c r="E234" s="1">
        <f>IF(D234="ストーリー", INT((COUNTIF($D$2:D234, "ストーリー")-1)/3) + 1, "NA")</f>
        <v/>
      </c>
      <c r="F234" s="1" t="inlineStr">
        <is>
          <t>単語の意味を選択してください。</t>
        </is>
      </c>
      <c r="G234" s="8" t="inlineStr">
        <is>
          <t>1. 原因
2. 理由
3. 基盤
4. 根拠</t>
        </is>
      </c>
      <c r="H234" s="1" t="n">
        <v>4</v>
      </c>
      <c r="I234" s="9" t="inlineStr">
        <is>
          <t>j82hFSGjlWk</t>
        </is>
      </c>
      <c r="J234" s="2" t="inlineStr">
        <is>
          <t>手話【基本】と手話【理由】を合体させた手話らしい。個人的には見たことがない。別に合体させなくてもよかったような気はするが…。</t>
        </is>
      </c>
      <c r="K234" s="1" t="n"/>
    </row>
    <row r="235" ht="63" customHeight="1">
      <c r="A235" s="1">
        <f>ROW()-1</f>
        <v/>
      </c>
      <c r="B235" s="1" t="n">
        <v>2025</v>
      </c>
      <c r="C235" s="1" t="inlineStr">
        <is>
          <t>準1</t>
        </is>
      </c>
      <c r="D235" s="1" t="inlineStr">
        <is>
          <t>基本単語</t>
        </is>
      </c>
      <c r="E235" s="1">
        <f>IF(D235="ストーリー", INT((COUNTIF($D$2:D235, "ストーリー")-1)/3) + 1, "NA")</f>
        <v/>
      </c>
      <c r="F235" s="1" t="inlineStr">
        <is>
          <t>単語の意味を選択してください。</t>
        </is>
      </c>
      <c r="G235" s="8" t="inlineStr">
        <is>
          <t>1. 財政
2. 税金
3. 経済
4. 国庫</t>
        </is>
      </c>
      <c r="H235" s="1" t="n">
        <v>1</v>
      </c>
      <c r="I235" s="9" t="inlineStr">
        <is>
          <t>3DOu0B-X-aw</t>
        </is>
      </c>
      <c r="J235" s="2" t="inlineStr">
        <is>
          <t>手話【政治】と手話【お金】を合体させた表現。個人的には見たことがない。財政とは財務省によると「（公共施設や公的サービスを提供のために）税金などのお金を集めて管理し、必要なお金を支払っていく活動」のこと。</t>
        </is>
      </c>
      <c r="K235" s="1" t="n"/>
    </row>
    <row r="236" ht="63" customHeight="1">
      <c r="A236" s="1">
        <f>ROW()-1</f>
        <v/>
      </c>
      <c r="B236" s="1" t="n">
        <v>2025</v>
      </c>
      <c r="C236" s="1" t="inlineStr">
        <is>
          <t>準1</t>
        </is>
      </c>
      <c r="D236" s="1" t="inlineStr">
        <is>
          <t>基本単語</t>
        </is>
      </c>
      <c r="E236" s="1">
        <f>IF(D236="ストーリー", INT((COUNTIF($D$2:D236, "ストーリー")-1)/3) + 1, "NA")</f>
        <v/>
      </c>
      <c r="F236" s="1" t="inlineStr">
        <is>
          <t>単語の意味を選択してください。</t>
        </is>
      </c>
      <c r="G236" s="2" t="inlineStr">
        <is>
          <t>1. カルシウム
2. コラーゲン
3. 世紀
4. カルビン</t>
        </is>
      </c>
      <c r="H236" s="1" t="n">
        <v>3</v>
      </c>
      <c r="I236" s="9" t="inlineStr">
        <is>
          <t>Y-8d7wnUllk</t>
        </is>
      </c>
      <c r="J236" s="2" t="inlineStr">
        <is>
          <t>個人的には見たことがない。これで「20世紀少年」と手話で表すのが楽になった。</t>
        </is>
      </c>
      <c r="K236" s="1" t="n"/>
    </row>
    <row r="237" ht="63" customHeight="1">
      <c r="A237" s="1">
        <f>ROW()-1</f>
        <v/>
      </c>
      <c r="B237" s="1" t="n">
        <v>2025</v>
      </c>
      <c r="C237" s="1" t="n">
        <v>5</v>
      </c>
      <c r="D237" s="1" t="inlineStr">
        <is>
          <t>短文</t>
        </is>
      </c>
      <c r="E237" s="1">
        <f>IF(D237="ストーリー", INT((COUNTIF($D$2:D237, "ストーリー")-1)/3) + 1, "NA")</f>
        <v/>
      </c>
      <c r="F237" s="1" t="inlineStr">
        <is>
          <t>問題文中で、自己紹介している人物の苗字はなんですか。</t>
        </is>
      </c>
      <c r="G237" s="2" t="inlineStr">
        <is>
          <t>1. たろう
2. 林
3. 田中
4. 林田</t>
        </is>
      </c>
      <c r="H237" s="1" t="n">
        <v>4</v>
      </c>
      <c r="I237" s="1" t="inlineStr">
        <is>
          <t>MIewG7YS62g</t>
        </is>
      </c>
      <c r="J237" s="14" t="inlineStr">
        <is>
          <t>私は林田たろうです。</t>
        </is>
      </c>
      <c r="K237" s="1" t="n"/>
    </row>
    <row r="238" ht="63" customHeight="1">
      <c r="A238" s="1">
        <f>ROW()-1</f>
        <v/>
      </c>
      <c r="B238" s="1" t="n">
        <v>2025</v>
      </c>
      <c r="C238" s="1" t="n">
        <v>5</v>
      </c>
      <c r="D238" s="1" t="inlineStr">
        <is>
          <t>短文</t>
        </is>
      </c>
      <c r="E238" s="1">
        <f>IF(D238="ストーリー", INT((COUNTIF($D$2:D238, "ストーリー")-1)/3) + 1, "NA")</f>
        <v/>
      </c>
      <c r="F238" s="1" t="inlineStr">
        <is>
          <t>「私の家」はどこの隣にありますか。</t>
        </is>
      </c>
      <c r="G238" s="2" t="inlineStr">
        <is>
          <t>1. 本屋
2. スーパー
3. 学校
4. ラーメン屋</t>
        </is>
      </c>
      <c r="H238" s="1" t="n">
        <v>4</v>
      </c>
      <c r="I238" s="1" t="inlineStr">
        <is>
          <t>fsfLZml4eT8</t>
        </is>
      </c>
      <c r="J238" s="14" t="inlineStr">
        <is>
          <t>私の家はラーメン屋のとなりです。</t>
        </is>
      </c>
      <c r="K238" s="1" t="n"/>
    </row>
    <row r="239" ht="63" customHeight="1">
      <c r="A239" s="1">
        <f>ROW()-1</f>
        <v/>
      </c>
      <c r="B239" s="1" t="n">
        <v>2025</v>
      </c>
      <c r="C239" s="1" t="n">
        <v>5</v>
      </c>
      <c r="D239" s="1" t="inlineStr">
        <is>
          <t>短文</t>
        </is>
      </c>
      <c r="E239" s="1">
        <f>IF(D239="ストーリー", INT((COUNTIF($D$2:D239, "ストーリー")-1)/3) + 1, "NA")</f>
        <v/>
      </c>
      <c r="F239" s="1" t="inlineStr">
        <is>
          <t>家族構成で、文に挙げられているのは誰と誰ですか。</t>
        </is>
      </c>
      <c r="G239" s="2" t="inlineStr">
        <is>
          <t>1. 夫と娘
2. 妻と娘
3. 祖父母
4. 父と母</t>
        </is>
      </c>
      <c r="H239" s="1" t="n">
        <v>2</v>
      </c>
      <c r="I239" s="1" t="inlineStr">
        <is>
          <t>rabGy5ngcys</t>
        </is>
      </c>
      <c r="J239" s="14" t="inlineStr">
        <is>
          <t>家族は妻と娘の3人です。</t>
        </is>
      </c>
      <c r="K239" s="1" t="n"/>
    </row>
    <row r="240" ht="63" customHeight="1">
      <c r="A240" s="1">
        <f>ROW()-1</f>
        <v/>
      </c>
      <c r="B240" s="1" t="n">
        <v>2025</v>
      </c>
      <c r="C240" s="1" t="n">
        <v>5</v>
      </c>
      <c r="D240" s="1" t="inlineStr">
        <is>
          <t>短文</t>
        </is>
      </c>
      <c r="E240" s="1">
        <f>IF(D240="ストーリー", INT((COUNTIF($D$2:D240, "ストーリー")-1)/3) + 1, "NA")</f>
        <v/>
      </c>
      <c r="F240" s="1" t="inlineStr">
        <is>
          <t>息子が見るのが好きなものは何ですか。</t>
        </is>
      </c>
      <c r="G240" s="2" t="inlineStr">
        <is>
          <t>1. 映画
2. 花火
3. 鳥
4. 動物</t>
        </is>
      </c>
      <c r="H240" s="1" t="n">
        <v>4</v>
      </c>
      <c r="I240" s="1" t="inlineStr">
        <is>
          <t>rPn3Uldxvrw</t>
        </is>
      </c>
      <c r="J240" s="14" t="inlineStr">
        <is>
          <t>息子は動物を見るのが好きです。</t>
        </is>
      </c>
      <c r="K240" s="1" t="n"/>
    </row>
    <row r="241" ht="63" customHeight="1">
      <c r="A241" s="1">
        <f>ROW()-1</f>
        <v/>
      </c>
      <c r="B241" s="1" t="n">
        <v>2025</v>
      </c>
      <c r="C241" s="1" t="n">
        <v>5</v>
      </c>
      <c r="D241" s="1" t="inlineStr">
        <is>
          <t>短文</t>
        </is>
      </c>
      <c r="E241" s="1">
        <f>IF(D241="ストーリー", INT((COUNTIF($D$2:D241, "ストーリー")-1)/3) + 1, "NA")</f>
        <v/>
      </c>
      <c r="F241" s="1" t="inlineStr">
        <is>
          <t>息子は平成何年生まれですか。</t>
        </is>
      </c>
      <c r="G241" s="2" t="inlineStr">
        <is>
          <t>1. 19
2. 20
3. 21
4. 22</t>
        </is>
      </c>
      <c r="H241" s="1" t="n">
        <v>3</v>
      </c>
      <c r="I241" s="1" t="inlineStr">
        <is>
          <t>W2dxUvMdCgc</t>
        </is>
      </c>
      <c r="J241" s="14" t="inlineStr">
        <is>
          <t>息子は平成21年8月10日生まれです。</t>
        </is>
      </c>
      <c r="K241" s="1" t="n"/>
    </row>
    <row r="242" ht="63" customHeight="1">
      <c r="A242" s="1">
        <f>ROW()-1</f>
        <v/>
      </c>
      <c r="B242" s="1" t="n">
        <v>2025</v>
      </c>
      <c r="C242" s="1" t="n">
        <v>5</v>
      </c>
      <c r="D242" s="1" t="inlineStr">
        <is>
          <t>短文</t>
        </is>
      </c>
      <c r="E242" s="1">
        <f>IF(D242="ストーリー", INT((COUNTIF($D$2:D242, "ストーリー")-1)/3) + 1, "NA")</f>
        <v/>
      </c>
      <c r="F242" s="1" t="inlineStr">
        <is>
          <t>妻の職業は何ですか。</t>
        </is>
      </c>
      <c r="G242" s="2" t="inlineStr">
        <is>
          <t>1. 先生
2. 事務員
3. 看護師
4. 料理人</t>
        </is>
      </c>
      <c r="H242" s="1" t="n">
        <v>1</v>
      </c>
      <c r="I242" s="1" t="inlineStr">
        <is>
          <t>dGlQQJaMGLY</t>
        </is>
      </c>
      <c r="J242" s="14" t="inlineStr">
        <is>
          <t>妻の仕事は中学校の先生です。</t>
        </is>
      </c>
      <c r="K242" s="1" t="n"/>
    </row>
    <row r="243" ht="63" customHeight="1">
      <c r="A243" s="1">
        <f>ROW()-1</f>
        <v/>
      </c>
      <c r="B243" s="1" t="n">
        <v>2025</v>
      </c>
      <c r="C243" s="1" t="n">
        <v>5</v>
      </c>
      <c r="D243" s="1" t="inlineStr">
        <is>
          <t>短文</t>
        </is>
      </c>
      <c r="E243" s="1">
        <f>IF(D243="ストーリー", INT((COUNTIF($D$2:D243, "ストーリー")-1)/3) + 1, "NA")</f>
        <v/>
      </c>
      <c r="F243" s="1" t="inlineStr">
        <is>
          <t>妻はおやつ作りについてどう感じていますか。</t>
        </is>
      </c>
      <c r="G243" s="2" t="inlineStr">
        <is>
          <t>1. 楽しい
2. 難しい
3. 退屈
4. 面倒</t>
        </is>
      </c>
      <c r="H243" s="1" t="n">
        <v>1</v>
      </c>
      <c r="I243" s="1" t="inlineStr">
        <is>
          <t>b-zFTAY6wDA</t>
        </is>
      </c>
      <c r="J243" s="14" t="inlineStr">
        <is>
          <t>妻は友達とおやつ作りが楽しいと言っています。</t>
        </is>
      </c>
      <c r="K243" s="1" t="n"/>
    </row>
    <row r="244" ht="63" customHeight="1">
      <c r="A244" s="1">
        <f>ROW()-1</f>
        <v/>
      </c>
      <c r="B244" s="1" t="n">
        <v>2025</v>
      </c>
      <c r="C244" s="1" t="n">
        <v>5</v>
      </c>
      <c r="D244" s="1" t="inlineStr">
        <is>
          <t>短文</t>
        </is>
      </c>
      <c r="E244" s="1">
        <f>IF(D244="ストーリー", INT((COUNTIF($D$2:D244, "ストーリー")-1)/3) + 1, "NA")</f>
        <v/>
      </c>
      <c r="F244" s="1" t="inlineStr">
        <is>
          <t>父の趣味は何ですか。</t>
        </is>
      </c>
      <c r="G244" s="2" t="inlineStr">
        <is>
          <t>1. ジョギング
2. 読書
3. 川づり
4. ドライブ</t>
        </is>
      </c>
      <c r="H244" s="1" t="n">
        <v>3</v>
      </c>
      <c r="I244" s="1" t="inlineStr">
        <is>
          <t>p88rtlri4BI</t>
        </is>
      </c>
      <c r="J244" s="14" t="inlineStr">
        <is>
          <t>父は川づりがしゅみで朝早くに行きます。</t>
        </is>
      </c>
      <c r="K244" s="1" t="n"/>
    </row>
    <row r="245" ht="63" customHeight="1">
      <c r="A245" s="1">
        <f>ROW()-1</f>
        <v/>
      </c>
      <c r="B245" s="1" t="n">
        <v>2025</v>
      </c>
      <c r="C245" s="1" t="n">
        <v>5</v>
      </c>
      <c r="D245" s="1" t="inlineStr">
        <is>
          <t>短文</t>
        </is>
      </c>
      <c r="E245" s="1">
        <f>IF(D245="ストーリー", INT((COUNTIF($D$2:D245, "ストーリー")-1)/3) + 1, "NA")</f>
        <v/>
      </c>
      <c r="F245" s="1" t="inlineStr">
        <is>
          <t>妹はどこで結婚式をしましたか。</t>
        </is>
      </c>
      <c r="G245" s="2" t="inlineStr">
        <is>
          <t>1. 札幌市
2. 水戸市
3. 東京
4. つくば市</t>
        </is>
      </c>
      <c r="H245" s="1" t="n">
        <v>4</v>
      </c>
      <c r="I245" s="1" t="inlineStr">
        <is>
          <t>VWLowTue4bY</t>
        </is>
      </c>
      <c r="J245" s="14" t="inlineStr">
        <is>
          <t>妹は春につくば市で結婚式をしました。</t>
        </is>
      </c>
      <c r="K245" s="1" t="n"/>
    </row>
    <row r="246" ht="63" customHeight="1">
      <c r="A246" s="1">
        <f>ROW()-1</f>
        <v/>
      </c>
      <c r="B246" s="1" t="n">
        <v>2025</v>
      </c>
      <c r="C246" s="1" t="n">
        <v>5</v>
      </c>
      <c r="D246" s="1" t="inlineStr">
        <is>
          <t>短文</t>
        </is>
      </c>
      <c r="E246" s="1">
        <f>IF(D246="ストーリー", INT((COUNTIF($D$2:D246, "ストーリー")-1)/3) + 1, "NA")</f>
        <v/>
      </c>
      <c r="F246" s="1" t="inlineStr">
        <is>
          <t>私はいつバスケットボールの練習をしますか。</t>
        </is>
      </c>
      <c r="G246" s="2" t="inlineStr">
        <is>
          <t>1. 月曜日
2. 土曜日
3. 祝日
4. 日曜日</t>
        </is>
      </c>
      <c r="H246" s="1" t="n">
        <v>4</v>
      </c>
      <c r="I246" s="1" t="inlineStr">
        <is>
          <t>RXW3ef98HWI</t>
        </is>
      </c>
      <c r="J246" s="14" t="inlineStr">
        <is>
          <t>私は日曜日バスケットボールの練習をします。</t>
        </is>
      </c>
      <c r="K246" s="1" t="n"/>
    </row>
    <row r="247" ht="63" customHeight="1">
      <c r="A247" s="1">
        <f>ROW()-1</f>
        <v/>
      </c>
      <c r="B247" s="1" t="n">
        <v>2025</v>
      </c>
      <c r="C247" s="1" t="n">
        <v>4</v>
      </c>
      <c r="D247" s="1" t="inlineStr">
        <is>
          <t>短文</t>
        </is>
      </c>
      <c r="E247" s="1">
        <f>IF(D247="ストーリー", INT((COUNTIF($D$2:D247, "ストーリー")-1)/3) + 1, "NA")</f>
        <v/>
      </c>
      <c r="F247" s="1" t="inlineStr">
        <is>
          <t>毎日夕方のあと、何時から散歩をしますか。</t>
        </is>
      </c>
      <c r="G247" s="2" t="inlineStr">
        <is>
          <t>1. 6時から
2. 7時から
3. 8時から
4. 9時から</t>
        </is>
      </c>
      <c r="H247" s="1" t="n">
        <v>3</v>
      </c>
      <c r="I247" s="1" t="inlineStr">
        <is>
          <t>aSVkK7ZWtwg</t>
        </is>
      </c>
      <c r="J247" s="14" t="inlineStr">
        <is>
          <t>毎日夜ご飯のあと、8時から1時間散歩します。</t>
        </is>
      </c>
      <c r="K247" s="1" t="n"/>
    </row>
    <row r="248" ht="63" customHeight="1">
      <c r="A248" s="1">
        <f>ROW()-1</f>
        <v/>
      </c>
      <c r="B248" s="1" t="n">
        <v>2025</v>
      </c>
      <c r="C248" s="1" t="n">
        <v>4</v>
      </c>
      <c r="D248" s="1" t="inlineStr">
        <is>
          <t>短文</t>
        </is>
      </c>
      <c r="E248" s="1">
        <f>IF(D248="ストーリー", INT((COUNTIF($D$2:D248, "ストーリー")-1)/3) + 1, "NA")</f>
        <v/>
      </c>
      <c r="F248" s="1" t="inlineStr">
        <is>
          <t>週末に娘や友達と一緒にバーベキューをします。焼きそばに肉と何を入れたいですか。</t>
        </is>
      </c>
      <c r="G248" s="2" t="inlineStr">
        <is>
          <t>1. たまご
2. 野菜
3. エビ
4. イカ</t>
        </is>
      </c>
      <c r="H248" s="1" t="n">
        <v>4</v>
      </c>
      <c r="I248" s="1" t="inlineStr">
        <is>
          <t>V-ZLyigm23Y</t>
        </is>
      </c>
      <c r="J248" s="14" t="inlineStr">
        <is>
          <t>週末に娘や友達と一緒にバーベキューをします。肉とイカを入れて焼きます。</t>
        </is>
      </c>
      <c r="K248" s="1" t="n"/>
    </row>
    <row r="249" ht="63" customHeight="1">
      <c r="A249" s="1">
        <f>ROW()-1</f>
        <v/>
      </c>
      <c r="B249" s="1" t="n">
        <v>2025</v>
      </c>
      <c r="C249" s="1" t="n">
        <v>4</v>
      </c>
      <c r="D249" s="1" t="inlineStr">
        <is>
          <t>短文</t>
        </is>
      </c>
      <c r="E249" s="1">
        <f>IF(D249="ストーリー", INT((COUNTIF($D$2:D249, "ストーリー")-1)/3) + 1, "NA")</f>
        <v/>
      </c>
      <c r="F249" s="1" t="inlineStr">
        <is>
          <t>息子の仕事は何ですか。</t>
        </is>
      </c>
      <c r="G249" s="2" t="inlineStr">
        <is>
          <t>1. 教師
2. 介護
3. 看護
4. 事務</t>
        </is>
      </c>
      <c r="H249" s="1" t="n">
        <v>2</v>
      </c>
      <c r="I249" s="1" t="inlineStr">
        <is>
          <t>64-6ner0VzY</t>
        </is>
      </c>
      <c r="J249" s="14" t="inlineStr">
        <is>
          <t>息子の仕事は介護です。週休2日ですが土日もお正月も仕事で初詣に行けません。</t>
        </is>
      </c>
      <c r="K249" s="1" t="n"/>
    </row>
    <row r="250" ht="63" customHeight="1">
      <c r="A250" s="1">
        <f>ROW()-1</f>
        <v/>
      </c>
      <c r="B250" s="1" t="n">
        <v>2025</v>
      </c>
      <c r="C250" s="1" t="n">
        <v>4</v>
      </c>
      <c r="D250" s="1" t="inlineStr">
        <is>
          <t>短文</t>
        </is>
      </c>
      <c r="E250" s="1">
        <f>IF(D250="ストーリー", INT((COUNTIF($D$2:D250, "ストーリー")-1)/3) + 1, "NA")</f>
        <v/>
      </c>
      <c r="F250" s="1" t="inlineStr">
        <is>
          <t>昨年の春、引っ越しました。今年の春、理容店のとなりに何ができましたか。</t>
        </is>
      </c>
      <c r="G250" s="2" t="inlineStr">
        <is>
          <t>1. 学校
2. スーパー
3. レストラン
4. 病院</t>
        </is>
      </c>
      <c r="H250" s="1" t="n">
        <v>3</v>
      </c>
      <c r="I250" s="1" t="inlineStr">
        <is>
          <t>8UWR0U3nibI</t>
        </is>
      </c>
      <c r="J250" s="14" t="inlineStr">
        <is>
          <t>昨年の春、引っ越しました。今年の春、理容店のとなりにレストランができました。</t>
        </is>
      </c>
      <c r="K250" s="1" t="n"/>
    </row>
    <row r="251" ht="63" customHeight="1">
      <c r="A251" s="1">
        <f>ROW()-1</f>
        <v/>
      </c>
      <c r="B251" s="1" t="n">
        <v>2025</v>
      </c>
      <c r="C251" s="1" t="n">
        <v>4</v>
      </c>
      <c r="D251" s="1" t="inlineStr">
        <is>
          <t>短文</t>
        </is>
      </c>
      <c r="E251" s="1">
        <f>IF(D251="ストーリー", INT((COUNTIF($D$2:D251, "ストーリー")-1)/3) + 1, "NA")</f>
        <v/>
      </c>
      <c r="F251" s="1" t="inlineStr">
        <is>
          <t>息子の運動会が延期になったのは何のためですか。</t>
        </is>
      </c>
      <c r="G251" s="2" t="inlineStr">
        <is>
          <t>1. 雨
2. 台風
3. 地震
4. 雪</t>
        </is>
      </c>
      <c r="H251" s="1" t="n">
        <v>2</v>
      </c>
      <c r="I251" s="1" t="inlineStr">
        <is>
          <t>JPaY4hQHg6k</t>
        </is>
      </c>
      <c r="J251" s="14" t="inlineStr">
        <is>
          <t>息子の運動会が台風で来週に延期になりました。</t>
        </is>
      </c>
      <c r="K251" s="1" t="n"/>
    </row>
    <row r="252" ht="63" customHeight="1">
      <c r="A252" s="1">
        <f>ROW()-1</f>
        <v/>
      </c>
      <c r="B252" s="1" t="n">
        <v>2025</v>
      </c>
      <c r="C252" s="1" t="n">
        <v>4</v>
      </c>
      <c r="D252" s="1" t="inlineStr">
        <is>
          <t>短文</t>
        </is>
      </c>
      <c r="E252" s="1">
        <f>IF(D252="ストーリー", INT((COUNTIF($D$2:D252, "ストーリー")-1)/3) + 1, "NA")</f>
        <v/>
      </c>
      <c r="F252" s="1" t="inlineStr">
        <is>
          <t>休日の日に参拝した場所はどこですか。</t>
        </is>
      </c>
      <c r="G252" s="2" t="inlineStr">
        <is>
          <t>1. お寺
2. 実家
3. 公園
4. 山</t>
        </is>
      </c>
      <c r="H252" s="1" t="n">
        <v>1</v>
      </c>
      <c r="I252" s="1" t="inlineStr">
        <is>
          <t>A-wHiYEjZUE</t>
        </is>
      </c>
      <c r="J252" s="14" t="inlineStr">
        <is>
          <t>休日の日は夫婦でお寺と神社をお参りします。帰りにあじさいやコスモスを見ました。</t>
        </is>
      </c>
      <c r="K252" s="1" t="n"/>
    </row>
    <row r="253" ht="63" customHeight="1">
      <c r="A253" s="1">
        <f>ROW()-1</f>
        <v/>
      </c>
      <c r="B253" s="1" t="n">
        <v>2025</v>
      </c>
      <c r="C253" s="1" t="n">
        <v>4</v>
      </c>
      <c r="D253" s="1" t="inlineStr">
        <is>
          <t>短文</t>
        </is>
      </c>
      <c r="E253" s="1">
        <f>IF(D253="ストーリー", INT((COUNTIF($D$2:D253, "ストーリー")-1)/3) + 1, "NA")</f>
        <v/>
      </c>
      <c r="F253" s="1" t="inlineStr">
        <is>
          <t>11月の連休はどこへ行きましたか。</t>
        </is>
      </c>
      <c r="G253" s="2" t="inlineStr">
        <is>
          <t>1. 北海道
2. 東京
3. 長崎
4. 京都</t>
        </is>
      </c>
      <c r="H253" s="1" t="n">
        <v>3</v>
      </c>
      <c r="I253" s="1" t="inlineStr">
        <is>
          <t>P03OO1ThpUc</t>
        </is>
      </c>
      <c r="J253" s="14" t="inlineStr">
        <is>
          <t>11月の連休は家族で長崎に行きました。観光し、ソフトクリームを食べました。</t>
        </is>
      </c>
      <c r="K253" s="1" t="n"/>
    </row>
    <row r="254" ht="63" customHeight="1">
      <c r="A254" s="1">
        <f>ROW()-1</f>
        <v/>
      </c>
      <c r="B254" s="1" t="n">
        <v>2025</v>
      </c>
      <c r="C254" s="1" t="n">
        <v>4</v>
      </c>
      <c r="D254" s="1" t="inlineStr">
        <is>
          <t>短文</t>
        </is>
      </c>
      <c r="E254" s="1">
        <f>IF(D254="ストーリー", INT((COUNTIF($D$2:D254, "ストーリー")-1)/3) + 1, "NA")</f>
        <v/>
      </c>
      <c r="F254" s="1" t="inlineStr">
        <is>
          <t>冬は毎週何曜日に手芸クラブに通っていますか。</t>
        </is>
      </c>
      <c r="G254" s="2" t="inlineStr">
        <is>
          <t>1. 月曜日
2. 火曜日
3. 水曜日
4. 木曜日</t>
        </is>
      </c>
      <c r="H254" s="1" t="n">
        <v>4</v>
      </c>
      <c r="I254" s="1" t="inlineStr">
        <is>
          <t>KX_PYJsDsIk</t>
        </is>
      </c>
      <c r="J254" s="14" t="inlineStr">
        <is>
          <t>冬は毎週木曜日手芸クラブに通っています。かばんを作るのが得意です。</t>
        </is>
      </c>
      <c r="K254" s="1" t="n"/>
    </row>
    <row r="255" ht="63" customHeight="1">
      <c r="A255" s="1">
        <f>ROW()-1</f>
        <v/>
      </c>
      <c r="B255" s="1" t="n">
        <v>2025</v>
      </c>
      <c r="C255" s="1" t="n">
        <v>4</v>
      </c>
      <c r="D255" s="1" t="inlineStr">
        <is>
          <t>短文</t>
        </is>
      </c>
      <c r="E255" s="1">
        <f>IF(D255="ストーリー", INT((COUNTIF($D$2:D255, "ストーリー")-1)/3) + 1, "NA")</f>
        <v/>
      </c>
      <c r="F255" s="1" t="inlineStr">
        <is>
          <t>息子は高校で何をしていましたか。</t>
        </is>
      </c>
      <c r="G255" s="2" t="inlineStr">
        <is>
          <t>1. 野球
2. サーフィン
3. サッカー
4. 水泳</t>
        </is>
      </c>
      <c r="H255" s="1" t="n">
        <v>2</v>
      </c>
      <c r="I255" s="1" t="inlineStr">
        <is>
          <t>Y5jAyBwJy-Y</t>
        </is>
      </c>
      <c r="J255" s="14" t="inlineStr">
        <is>
          <t>息子は高校ではサーフィンをしていました。新潟大会では二位でした。残念。</t>
        </is>
      </c>
      <c r="K255" s="1" t="n"/>
    </row>
    <row r="256" ht="63" customHeight="1">
      <c r="A256" s="1">
        <f>ROW()-1</f>
        <v/>
      </c>
      <c r="B256" s="1" t="n">
        <v>2025</v>
      </c>
      <c r="C256" s="1" t="n">
        <v>4</v>
      </c>
      <c r="D256" s="1" t="inlineStr">
        <is>
          <t>短文</t>
        </is>
      </c>
      <c r="E256" s="1">
        <f>IF(D256="ストーリー", INT((COUNTIF($D$2:D256, "ストーリー")-1)/3) + 1, "NA")</f>
        <v/>
      </c>
      <c r="F256" s="1" t="inlineStr">
        <is>
          <t>町内会の行事をした感想についてどういっていますか。</t>
        </is>
      </c>
      <c r="G256" s="2" t="inlineStr">
        <is>
          <t>1. 掃除
2. 料理
3. 大変
4. 楽しい</t>
        </is>
      </c>
      <c r="H256" s="1" t="n">
        <v>3</v>
      </c>
      <c r="I256" s="1" t="inlineStr">
        <is>
          <t>31WXy6GG4Gg</t>
        </is>
      </c>
      <c r="J256" s="14" t="inlineStr">
        <is>
          <t>町内会の行事が年2回あります。古い新聞を集めるのと、湖の近くの運動に行く計画を考えるのが大変でした。</t>
        </is>
      </c>
      <c r="K256" s="1" t="n"/>
    </row>
    <row r="257" ht="63" customHeight="1">
      <c r="A257" s="1">
        <f>ROW()-1</f>
        <v/>
      </c>
      <c r="B257" s="1" t="n">
        <v>2025</v>
      </c>
      <c r="C257" s="1" t="n">
        <v>3</v>
      </c>
      <c r="D257" s="1" t="inlineStr">
        <is>
          <t>短文</t>
        </is>
      </c>
      <c r="E257" s="1">
        <f>IF(D257="ストーリー", INT((COUNTIF($D$2:D257, "ストーリー")-1)/3) + 1, "NA")</f>
        <v/>
      </c>
      <c r="F257" s="1" t="inlineStr">
        <is>
          <t>息子は何を目標に陸上競技の練習をしていますか。</t>
        </is>
      </c>
      <c r="G257" s="2" t="inlineStr">
        <is>
          <t>1. 健康
2. 入賞
3. 記録
4. 優勝</t>
        </is>
      </c>
      <c r="H257" s="1" t="n">
        <v>4</v>
      </c>
      <c r="I257" s="1" t="inlineStr">
        <is>
          <t>wKqJ70mPj-c</t>
        </is>
      </c>
      <c r="J257" s="14" t="inlineStr">
        <is>
          <t>息子は優勝を目標に陸上競技の練習をしています。試合のときは家族で応援に行きます。</t>
        </is>
      </c>
      <c r="K257" s="1" t="n"/>
    </row>
    <row r="258" ht="63" customHeight="1">
      <c r="A258" s="1">
        <f>ROW()-1</f>
        <v/>
      </c>
      <c r="B258" s="1" t="n">
        <v>2025</v>
      </c>
      <c r="C258" s="1" t="n">
        <v>3</v>
      </c>
      <c r="D258" s="1" t="inlineStr">
        <is>
          <t>短文</t>
        </is>
      </c>
      <c r="E258" s="1">
        <f>IF(D258="ストーリー", INT((COUNTIF($D$2:D258, "ストーリー")-1)/3) + 1, "NA")</f>
        <v/>
      </c>
      <c r="F258" s="1" t="inlineStr">
        <is>
          <t>息子が練習しているスポーツは何ですか。</t>
        </is>
      </c>
      <c r="G258" s="2" t="inlineStr">
        <is>
          <t>1. サッカー
2. 陸上競技
3. 水泳
4. 野球</t>
        </is>
      </c>
      <c r="H258" s="1" t="n">
        <v>2</v>
      </c>
      <c r="I258" s="1" t="inlineStr">
        <is>
          <t>wKqJ70mPj-c</t>
        </is>
      </c>
      <c r="J258" s="14" t="inlineStr">
        <is>
          <t>息子は優勝を目標に陸上競技の練習をしています。試合のときは家族で応援に行きます。</t>
        </is>
      </c>
      <c r="K258" s="1" t="n"/>
    </row>
    <row r="259" ht="63" customHeight="1">
      <c r="A259" s="1">
        <f>ROW()-1</f>
        <v/>
      </c>
      <c r="B259" s="1" t="n">
        <v>2025</v>
      </c>
      <c r="C259" s="1" t="n">
        <v>3</v>
      </c>
      <c r="D259" s="1" t="inlineStr">
        <is>
          <t>短文</t>
        </is>
      </c>
      <c r="E259" s="1">
        <f>IF(D259="ストーリー", INT((COUNTIF($D$2:D259, "ストーリー")-1)/3) + 1, "NA")</f>
        <v/>
      </c>
      <c r="F259" s="1" t="inlineStr">
        <is>
          <t>得意なのは何の絵ですか。</t>
        </is>
      </c>
      <c r="G259" s="2" t="inlineStr">
        <is>
          <t>1. ネコ
2. 鳥
3. ふくろう
4. 犬</t>
        </is>
      </c>
      <c r="H259" s="1" t="n">
        <v>3</v>
      </c>
      <c r="I259" s="1" t="inlineStr">
        <is>
          <t>cyNJaX1ae_A</t>
        </is>
      </c>
      <c r="J259" s="14" t="inlineStr">
        <is>
          <t>大学で絵を学びました。ふくろうの絵が得意です。文化祭に申し込んだら、賞状をもらいました。</t>
        </is>
      </c>
      <c r="K259" s="1" t="n"/>
    </row>
    <row r="260" ht="63" customHeight="1">
      <c r="A260" s="1">
        <f>ROW()-1</f>
        <v/>
      </c>
      <c r="B260" s="1" t="n">
        <v>2025</v>
      </c>
      <c r="C260" s="1" t="n">
        <v>3</v>
      </c>
      <c r="D260" s="1" t="inlineStr">
        <is>
          <t>短文</t>
        </is>
      </c>
      <c r="E260" s="1">
        <f>IF(D260="ストーリー", INT((COUNTIF($D$2:D260, "ストーリー")-1)/3) + 1, "NA")</f>
        <v/>
      </c>
      <c r="F260" s="1" t="inlineStr">
        <is>
          <t>絵を出品したのは何のイベントですか。</t>
        </is>
      </c>
      <c r="G260" s="2" t="inlineStr">
        <is>
          <t>1. 文化祭
2. 美術展
3. 学園祭
4. 発表会</t>
        </is>
      </c>
      <c r="H260" s="1" t="n">
        <v>1</v>
      </c>
      <c r="I260" s="1" t="inlineStr">
        <is>
          <t>cyNJaX1ae_A</t>
        </is>
      </c>
      <c r="J260" s="14" t="inlineStr">
        <is>
          <t>大学で絵を学びました。ふくろうの絵が得意です。文化祭に申し込んだら、賞状をもらいました。</t>
        </is>
      </c>
      <c r="K260" s="1" t="n"/>
    </row>
    <row r="261" ht="63" customHeight="1">
      <c r="A261" s="1">
        <f>ROW()-1</f>
        <v/>
      </c>
      <c r="B261" s="1" t="n">
        <v>2025</v>
      </c>
      <c r="C261" s="1" t="n">
        <v>3</v>
      </c>
      <c r="D261" s="1" t="inlineStr">
        <is>
          <t>短文</t>
        </is>
      </c>
      <c r="E261" s="1">
        <f>IF(D261="ストーリー", INT((COUNTIF($D$2:D261, "ストーリー")-1)/3) + 1, "NA")</f>
        <v/>
      </c>
      <c r="F261" s="1" t="inlineStr">
        <is>
          <t>青森で観光したのは誰とですか。</t>
        </is>
      </c>
      <c r="G261" s="2" t="inlineStr">
        <is>
          <t>1. 家族
2. 職場の同僚
3. 同窓会
4. 友達</t>
        </is>
      </c>
      <c r="H261" s="1" t="n">
        <v>3</v>
      </c>
      <c r="I261" s="1" t="inlineStr">
        <is>
          <t>VMJB4XuLwRM</t>
        </is>
      </c>
      <c r="J261" s="14" t="inlineStr">
        <is>
          <t>昨年、同窓会で青森に車で行って、お城を見ました。夜は宿でお鍋に、キノコと、ごぼうと、さといもを入れて食べましたが、おいしかったです。</t>
        </is>
      </c>
      <c r="K261" s="1" t="n"/>
    </row>
    <row r="262" ht="63" customHeight="1">
      <c r="A262" s="1">
        <f>ROW()-1</f>
        <v/>
      </c>
      <c r="B262" s="1" t="n">
        <v>2025</v>
      </c>
      <c r="C262" s="1" t="n">
        <v>3</v>
      </c>
      <c r="D262" s="1" t="inlineStr">
        <is>
          <t>短文</t>
        </is>
      </c>
      <c r="E262" s="1">
        <f>IF(D262="ストーリー", INT((COUNTIF($D$2:D262, "ストーリー")-1)/3) + 1, "NA")</f>
        <v/>
      </c>
      <c r="F262" s="1" t="inlineStr">
        <is>
          <t>お鍋に入っていた具材の一つは何ですか。</t>
        </is>
      </c>
      <c r="G262" s="2" t="inlineStr">
        <is>
          <t>1. さといも
2. にんじん
3. 大根
4. かぼちゃ</t>
        </is>
      </c>
      <c r="H262" s="1" t="n">
        <v>1</v>
      </c>
      <c r="I262" s="1" t="inlineStr">
        <is>
          <t>VMJB4XuLwRM</t>
        </is>
      </c>
      <c r="J262" s="14" t="inlineStr">
        <is>
          <t>昨年、同窓会で青森に車で行って、お城を見ました。夜は宿でお鍋に、キノコと、ごぼうと、さといもを入れて食べましたが、おいしかったです。</t>
        </is>
      </c>
      <c r="K262" s="1" t="n"/>
    </row>
    <row r="263" ht="63" customHeight="1">
      <c r="A263" s="1">
        <f>ROW()-1</f>
        <v/>
      </c>
      <c r="B263" s="1" t="n">
        <v>2025</v>
      </c>
      <c r="C263" s="1" t="n">
        <v>3</v>
      </c>
      <c r="D263" s="1" t="inlineStr">
        <is>
          <t>短文</t>
        </is>
      </c>
      <c r="E263" s="1">
        <f>IF(D263="ストーリー", INT((COUNTIF($D$2:D263, "ストーリー")-1)/3) + 1, "NA")</f>
        <v/>
      </c>
      <c r="F263" s="1" t="inlineStr">
        <is>
          <t>仕事仲間と一緒に参加した会合の名前は何ですか。</t>
        </is>
      </c>
      <c r="G263" s="2" t="inlineStr">
        <is>
          <t>1. 会議
2. 研修会
3. モラル
4. 勉強会</t>
        </is>
      </c>
      <c r="H263" s="1" t="n">
        <v>3</v>
      </c>
      <c r="I263" s="1" t="inlineStr">
        <is>
          <t>nrWSd_VIugk</t>
        </is>
      </c>
      <c r="J263" s="14" t="inlineStr">
        <is>
          <t>仕事仲間と一緒にモラルの講習会に参加しました。ハラスメントやトラブルなど非常識なことがたくさんあることがわかりました。</t>
        </is>
      </c>
      <c r="K263" s="1" t="n"/>
    </row>
    <row r="264" ht="63" customHeight="1">
      <c r="A264" s="1">
        <f>ROW()-1</f>
        <v/>
      </c>
      <c r="B264" s="1" t="n">
        <v>2025</v>
      </c>
      <c r="C264" s="1" t="n">
        <v>3</v>
      </c>
      <c r="D264" s="1" t="inlineStr">
        <is>
          <t>短文</t>
        </is>
      </c>
      <c r="E264" s="1">
        <f>IF(D264="ストーリー", INT((COUNTIF($D$2:D264, "ストーリー")-1)/3) + 1, "NA")</f>
        <v/>
      </c>
      <c r="F264" s="1" t="inlineStr">
        <is>
          <t>妹は中学校で何の教師ですか。</t>
        </is>
      </c>
      <c r="G264" s="2" t="inlineStr">
        <is>
          <t>1. 音楽
2. 数学
3. 体育
4. 理科</t>
        </is>
      </c>
      <c r="H264" s="1" t="n">
        <v>3</v>
      </c>
      <c r="I264" s="1" t="inlineStr">
        <is>
          <t>sTczZZnesyA</t>
        </is>
      </c>
      <c r="J264" s="14" t="inlineStr">
        <is>
          <t>妹は中学校の体育の教師です。担任や両親と、部活動の今後について相談します。</t>
        </is>
      </c>
      <c r="K264" s="1" t="n"/>
    </row>
    <row r="265" ht="63" customHeight="1">
      <c r="A265" s="1">
        <f>ROW()-1</f>
        <v/>
      </c>
      <c r="B265" s="1" t="n">
        <v>2025</v>
      </c>
      <c r="C265" s="1" t="n">
        <v>3</v>
      </c>
      <c r="D265" s="1" t="inlineStr">
        <is>
          <t>短文</t>
        </is>
      </c>
      <c r="E265" s="1">
        <f>IF(D265="ストーリー", INT((COUNTIF($D$2:D265, "ストーリー")-1)/3) + 1, "NA")</f>
        <v/>
      </c>
      <c r="F265" s="1" t="inlineStr">
        <is>
          <t>部活動の今後について妹が相談した相手の一人は誰ですか。</t>
        </is>
      </c>
      <c r="G265" s="2" t="inlineStr">
        <is>
          <t>1. 生徒
2. 校長
3. 両親
4. 教頭</t>
        </is>
      </c>
      <c r="H265" s="1" t="n">
        <v>3</v>
      </c>
      <c r="I265" s="1" t="inlineStr">
        <is>
          <t>sTczZZnesyA</t>
        </is>
      </c>
      <c r="J265" s="14" t="inlineStr">
        <is>
          <t>妹は中学校の体育の教師です。担任や両親と、部活動の今後について相談します。</t>
        </is>
      </c>
      <c r="K265" s="1" t="n"/>
    </row>
    <row r="266" ht="63" customHeight="1">
      <c r="A266" s="1">
        <f>ROW()-1</f>
        <v/>
      </c>
      <c r="B266" s="1" t="n">
        <v>2025</v>
      </c>
      <c r="C266" s="1" t="n">
        <v>3</v>
      </c>
      <c r="D266" s="1" t="inlineStr">
        <is>
          <t>短文</t>
        </is>
      </c>
      <c r="E266" s="1">
        <f>IF(D266="ストーリー", INT((COUNTIF($D$2:D266, "ストーリー")-1)/3) + 1, "NA")</f>
        <v/>
      </c>
      <c r="F266" s="1" t="inlineStr">
        <is>
          <t>母は何の病気で通院していますか。</t>
        </is>
      </c>
      <c r="G266" s="2" t="inlineStr">
        <is>
          <t>1. 糖尿病
2. 腎臓病
3. 心臓
4. 肝臓</t>
        </is>
      </c>
      <c r="H266" s="1" t="n">
        <v>3</v>
      </c>
      <c r="I266" s="1" t="inlineStr">
        <is>
          <t>qNPRz3dAEHY</t>
        </is>
      </c>
      <c r="J266" s="14" t="inlineStr">
        <is>
          <t>母は心臓病で月1回通院しています。今月は結果を聞くので夫が付き添います。</t>
        </is>
      </c>
      <c r="K266" s="1" t="n"/>
    </row>
    <row r="267" ht="63" customHeight="1">
      <c r="A267" s="1">
        <f>ROW()-1</f>
        <v/>
      </c>
      <c r="B267" s="1" t="n">
        <v>2025</v>
      </c>
      <c r="C267" s="1" t="n">
        <v>3</v>
      </c>
      <c r="D267" s="1" t="inlineStr">
        <is>
          <t>短文</t>
        </is>
      </c>
      <c r="E267" s="1">
        <f>IF(D267="ストーリー", INT((COUNTIF($D$2:D267, "ストーリー")-1)/3) + 1, "NA")</f>
        <v/>
      </c>
      <c r="F267" s="1" t="inlineStr">
        <is>
          <t>今月母の通院に付き添ったのは誰ですか。</t>
        </is>
      </c>
      <c r="G267" s="2" t="inlineStr">
        <is>
          <t>1. 娘
2. 息子
3. 夫
4. 妻</t>
        </is>
      </c>
      <c r="H267" s="1" t="n">
        <v>3</v>
      </c>
      <c r="I267" s="1" t="inlineStr">
        <is>
          <t>qNPRz3dAEHY</t>
        </is>
      </c>
      <c r="J267" s="14" t="inlineStr">
        <is>
          <t>母は心臓病で月1回通院しています。今月は結果を聞くので夫が付き添います。</t>
        </is>
      </c>
      <c r="K267" s="1" t="n"/>
    </row>
    <row r="268" ht="63" customHeight="1">
      <c r="A268" s="1">
        <f>ROW()-1</f>
        <v/>
      </c>
      <c r="B268" s="1" t="n">
        <v>2025</v>
      </c>
      <c r="C268" s="1" t="n">
        <v>3</v>
      </c>
      <c r="D268" s="1" t="inlineStr">
        <is>
          <t>短文</t>
        </is>
      </c>
      <c r="E268" s="1">
        <f>IF(D268="ストーリー", INT((COUNTIF($D$2:D268, "ストーリー")-1)/3) + 1, "NA")</f>
        <v/>
      </c>
      <c r="F268" s="1" t="inlineStr">
        <is>
          <t>川崎で行われる交流の種目は何ですか。</t>
        </is>
      </c>
      <c r="G268" s="2" t="inlineStr">
        <is>
          <t>1. バスケットボール
2. サッカー
3. テニス
4. フットサル</t>
        </is>
      </c>
      <c r="H268" s="1" t="n">
        <v>4</v>
      </c>
      <c r="I268" s="1" t="inlineStr">
        <is>
          <t>Tg4OKGpeu20</t>
        </is>
      </c>
      <c r="J268" s="13" t="inlineStr">
        <is>
          <t>今度、川崎でフットサルの交流があります。お弁当を配るボランティアを頼まれたので、手伝います。</t>
        </is>
      </c>
      <c r="K268" s="1" t="n"/>
    </row>
    <row r="269" ht="63" customHeight="1">
      <c r="A269" s="1">
        <f>ROW()-1</f>
        <v/>
      </c>
      <c r="B269" s="1" t="n">
        <v>2025</v>
      </c>
      <c r="C269" s="1" t="n">
        <v>3</v>
      </c>
      <c r="D269" s="1" t="inlineStr">
        <is>
          <t>短文</t>
        </is>
      </c>
      <c r="E269" s="1">
        <f>IF(D269="ストーリー", INT((COUNTIF($D$2:D269, "ストーリー")-1)/3) + 1, "NA")</f>
        <v/>
      </c>
      <c r="F269" s="1" t="inlineStr">
        <is>
          <t>交流のときに頼まれたことは何ですか。</t>
        </is>
      </c>
      <c r="G269" s="2" t="inlineStr">
        <is>
          <t>1. 会場準備
2. お弁当配り
3. 写真撮影
4. 清掃</t>
        </is>
      </c>
      <c r="H269" s="1" t="n">
        <v>2</v>
      </c>
      <c r="I269" s="1" t="inlineStr">
        <is>
          <t>Tg4OKGpeu20</t>
        </is>
      </c>
      <c r="J269" s="13" t="inlineStr">
        <is>
          <t>今度、川崎でフットサルの交流があります。お弁当を配るボランティアを頼まれたので、手伝います。</t>
        </is>
      </c>
      <c r="K269" s="1" t="n"/>
    </row>
    <row r="270" ht="63" customFormat="1" customHeight="1" s="18">
      <c r="A270" s="16">
        <f>ROW()-1</f>
        <v/>
      </c>
      <c r="B270" s="16" t="n">
        <v>2025</v>
      </c>
      <c r="C270" s="16" t="n">
        <v>2</v>
      </c>
      <c r="D270" s="16" t="inlineStr">
        <is>
          <t>ストーリー</t>
        </is>
      </c>
      <c r="E270" s="16">
        <f>IF(D270="ストーリー", INT((COUNTIF($D$2:D270, "ストーリー")-1)/3) + 1, "NA")</f>
        <v/>
      </c>
      <c r="F270" s="16" t="inlineStr">
        <is>
          <t>私は以前どんな仕事をしていましたか。</t>
        </is>
      </c>
      <c r="G270" s="17" t="inlineStr">
        <is>
          <t>1. コンピューター関係
2. ラジコン関係
3. 金融関係
4. 看護師</t>
        </is>
      </c>
      <c r="H270" s="16" t="n">
        <v>1</v>
      </c>
      <c r="I270" s="16" t="inlineStr">
        <is>
          <t>v-2Jweg_t9g</t>
        </is>
      </c>
      <c r="J270" s="17" t="inlineStr">
        <is>
          <t>私は以前、コンピューター関係の仕事をしていました。介護福祉士の資格を取り、今は、介護施設で働いています。私の好きな仕事はレクリエーションを考えて、それをやってみることです。利用者の方の笑顔を見ることが、一番嬉しいです。</t>
        </is>
      </c>
      <c r="K270" s="16" t="inlineStr">
        <is>
          <t>レク＝れ+楽しい</t>
        </is>
      </c>
    </row>
    <row r="271" ht="63" customFormat="1" customHeight="1" s="18">
      <c r="A271" s="16">
        <f>ROW()-1</f>
        <v/>
      </c>
      <c r="B271" s="16" t="n">
        <v>2025</v>
      </c>
      <c r="C271" s="16" t="n">
        <v>2</v>
      </c>
      <c r="D271" s="16" t="inlineStr">
        <is>
          <t>ストーリー</t>
        </is>
      </c>
      <c r="E271" s="16">
        <f>IF(D271="ストーリー", INT((COUNTIF($D$2:D271, "ストーリー")-1)/3) + 1, "NA")</f>
        <v/>
      </c>
      <c r="F271" s="16" t="inlineStr">
        <is>
          <t>今はどこで働いていますか。</t>
        </is>
      </c>
      <c r="G271" s="17" t="inlineStr">
        <is>
          <t>1. コンビニ
2. 介護施設
3. 大学
4. 市役所</t>
        </is>
      </c>
      <c r="H271" s="16" t="n">
        <v>2</v>
      </c>
      <c r="I271" s="16" t="inlineStr">
        <is>
          <t>v-2Jweg_t9g</t>
        </is>
      </c>
      <c r="J271" s="17" t="inlineStr">
        <is>
          <t>私は以前、コンピューター関係の仕事をしていました。介護福祉士の資格を取り、今は、介護施設で働いています。私の好きな仕事はレクリエーションを考えて、それをやってみることです。利用者の方の笑顔を見ることが、一番嬉しいです。</t>
        </is>
      </c>
      <c r="K271" s="16" t="n"/>
    </row>
    <row r="272" ht="63" customFormat="1" customHeight="1" s="18">
      <c r="A272" s="16">
        <f>ROW()-1</f>
        <v/>
      </c>
      <c r="B272" s="16" t="n">
        <v>2025</v>
      </c>
      <c r="C272" s="16" t="n">
        <v>2</v>
      </c>
      <c r="D272" s="16" t="inlineStr">
        <is>
          <t>ストーリー</t>
        </is>
      </c>
      <c r="E272" s="16">
        <f>IF(D272="ストーリー", INT((COUNTIF($D$2:D272, "ストーリー")-1)/3) + 1, "NA")</f>
        <v/>
      </c>
      <c r="F272" s="16" t="inlineStr">
        <is>
          <t>私の好きな仕事は何ですか。</t>
        </is>
      </c>
      <c r="G272" s="17" t="inlineStr">
        <is>
          <t>1. 食事の準備
2. エンターテイメント
3. レクリエーション
4. 書類作成</t>
        </is>
      </c>
      <c r="H272" s="16" t="n">
        <v>3</v>
      </c>
      <c r="I272" s="16" t="inlineStr">
        <is>
          <t>v-2Jweg_t9g</t>
        </is>
      </c>
      <c r="J272" s="17" t="inlineStr">
        <is>
          <t>私は以前、コンピューター関係の仕事をしていました。介護福祉士の資格を取り、今は、介護施設で働いています。私の好きな仕事はレクリエーションを考えて、それをやってみることです。利用者の方の笑顔を見ることが、一番嬉しいです。</t>
        </is>
      </c>
      <c r="K272" s="16" t="n"/>
    </row>
    <row r="273" ht="63" customFormat="1" customHeight="1" s="18">
      <c r="A273" s="16">
        <f>ROW()-1</f>
        <v/>
      </c>
      <c r="B273" s="16" t="n">
        <v>2025</v>
      </c>
      <c r="C273" s="16" t="n">
        <v>2</v>
      </c>
      <c r="D273" s="16" t="inlineStr">
        <is>
          <t>ストーリー</t>
        </is>
      </c>
      <c r="E273" s="16">
        <f>IF(D273="ストーリー", INT((COUNTIF($D$2:D273, "ストーリー")-1)/3) + 1, "NA")</f>
        <v/>
      </c>
      <c r="F273" s="16" t="inlineStr">
        <is>
          <t>小学校低学年のころ、私はどこに通っていましたか。</t>
        </is>
      </c>
      <c r="G273" s="17" t="inlineStr">
        <is>
          <t>1. 遠くのろう学校
2. 塾
3. 近くの小学校
4. 私立学校</t>
        </is>
      </c>
      <c r="H273" s="16" t="n">
        <v>3</v>
      </c>
      <c r="I273" s="16" t="inlineStr">
        <is>
          <t>FnmwEPVkbro</t>
        </is>
      </c>
      <c r="J273" s="17" t="inlineStr">
        <is>
          <t>私は難聴でしたが、近くの小学校に通っていました。しかし、小学3年の春ごろから急に聴力が低下し、4年の途中から遠くのろう学校に転校しました。ろう学校に入って生活が一変しましたが、クラスの友達や先輩から手話を教えてもらいながら、楽しい学校生活を送りました。</t>
        </is>
      </c>
      <c r="K273" s="16" t="n"/>
    </row>
    <row r="274" ht="63" customFormat="1" customHeight="1" s="18">
      <c r="A274" s="16">
        <f>ROW()-1</f>
        <v/>
      </c>
      <c r="B274" s="16" t="n">
        <v>2025</v>
      </c>
      <c r="C274" s="16" t="n">
        <v>2</v>
      </c>
      <c r="D274" s="16" t="inlineStr">
        <is>
          <t>ストーリー</t>
        </is>
      </c>
      <c r="E274" s="16">
        <f>IF(D274="ストーリー", INT((COUNTIF($D$2:D274, "ストーリー")-1)/3) + 1, "NA")</f>
        <v/>
      </c>
      <c r="F274" s="16" t="inlineStr">
        <is>
          <t>聴力が低下したのはいつごろですか。</t>
        </is>
      </c>
      <c r="G274" s="17" t="inlineStr">
        <is>
          <t>1. 小学1年
2. 小学3年の春ごろ
3. 中学1年
4. 高校生</t>
        </is>
      </c>
      <c r="H274" s="16" t="n">
        <v>2</v>
      </c>
      <c r="I274" s="16" t="inlineStr">
        <is>
          <t>FnmwEPVkbro</t>
        </is>
      </c>
      <c r="J274" s="17" t="inlineStr">
        <is>
          <t>私は難聴でしたが、近くの小学校に通っていました。しかし、小学3年の春ごろから急に聴力が低下し、4年の途中から遠くのろう学校に転校しました。ろう学校に入って生活が一変しましたが、クラスの友達や先輩から手話を教えてもらいながら、楽しい学校生活を送りました。</t>
        </is>
      </c>
      <c r="K274" s="16" t="n"/>
    </row>
    <row r="275" ht="63" customFormat="1" customHeight="1" s="18">
      <c r="A275" s="16">
        <f>ROW()-1</f>
        <v/>
      </c>
      <c r="B275" s="16" t="n">
        <v>2025</v>
      </c>
      <c r="C275" s="16" t="n">
        <v>2</v>
      </c>
      <c r="D275" s="16" t="inlineStr">
        <is>
          <t>ストーリー</t>
        </is>
      </c>
      <c r="E275" s="16">
        <f>IF(D275="ストーリー", INT((COUNTIF($D$2:D275, "ストーリー")-1)/3) + 1, "NA")</f>
        <v/>
      </c>
      <c r="F275" s="16" t="inlineStr">
        <is>
          <t>ろう学校で手話を教えてくれたのは誰ですか。</t>
        </is>
      </c>
      <c r="G275" s="17" t="inlineStr">
        <is>
          <t>1. 先輩
2. 先生
3. 家族
4. 医師</t>
        </is>
      </c>
      <c r="H275" s="16" t="n">
        <v>1</v>
      </c>
      <c r="I275" s="16" t="inlineStr">
        <is>
          <t>FnmwEPVkbro</t>
        </is>
      </c>
      <c r="J275" s="17" t="inlineStr">
        <is>
          <t>私は難聴でしたが、近くの小学校に通っていました。しかし、小学3年の春ごろから急に聴力が低下し、4年の途中から遠くのろう学校に転校しました。ろう学校に入って生活が一変しましたが、クラスの友達や先輩から手話を教えてもらいながら、楽しい学校生活を送りました。</t>
        </is>
      </c>
      <c r="K275" s="16" t="n"/>
    </row>
    <row r="276" ht="78.75" customFormat="1" customHeight="1" s="18">
      <c r="A276" s="16">
        <f>ROW()-1</f>
        <v/>
      </c>
      <c r="B276" s="16" t="n">
        <v>2025</v>
      </c>
      <c r="C276" s="16" t="n">
        <v>2</v>
      </c>
      <c r="D276" s="16" t="inlineStr">
        <is>
          <t>ストーリー</t>
        </is>
      </c>
      <c r="E276" s="16">
        <f>IF(D276="ストーリー", INT((COUNTIF($D$2:D276, "ストーリー")-1)/3) + 1, "NA")</f>
        <v/>
      </c>
      <c r="F276" s="16" t="inlineStr">
        <is>
          <t>私は何に興味がなかったのですか。</t>
        </is>
      </c>
      <c r="G276" s="17" t="inlineStr">
        <is>
          <t>1. おしゃれ
2. 映画
3. 同僚
4. 先生</t>
        </is>
      </c>
      <c r="H276" s="16" t="n">
        <v>1</v>
      </c>
      <c r="I276" s="16" t="inlineStr">
        <is>
          <t>QP69R51FYmg</t>
        </is>
      </c>
      <c r="J276" s="17" t="inlineStr">
        <is>
          <t>私には前から思いのひとがいます。その彼とデートが決まってうれしいです。でも、今まではおしゃれに関心がなく、慌てて新しいワンピースとイヤリングを買いました。前の日の夜緊張して寝つけなかったので、当日は映画館に行って見ているうちに寝てしまいました。だからもう連絡がないかもと落ち込んでいましたが、連絡がありうれしかったです。</t>
        </is>
      </c>
      <c r="K276" s="16" t="n"/>
    </row>
    <row r="277" ht="78.75" customFormat="1" customHeight="1" s="18">
      <c r="A277" s="16">
        <f>ROW()-1</f>
        <v/>
      </c>
      <c r="B277" s="16" t="n">
        <v>2025</v>
      </c>
      <c r="C277" s="16" t="n">
        <v>2</v>
      </c>
      <c r="D277" s="16" t="inlineStr">
        <is>
          <t>ストーリー</t>
        </is>
      </c>
      <c r="E277" s="16">
        <f>IF(D277="ストーリー", INT((COUNTIF($D$2:D277, "ストーリー")-1)/3) + 1, "NA")</f>
        <v/>
      </c>
      <c r="F277" s="16" t="inlineStr">
        <is>
          <t>デートの前の日に私はどうして寝つけませんでしたか。</t>
        </is>
      </c>
      <c r="G277" s="17" t="inlineStr">
        <is>
          <t>1. 緊張で寝つけなかった
2. 勉強していた
3. 仕事が忙しかった
4. 病気だった</t>
        </is>
      </c>
      <c r="H277" s="16" t="n">
        <v>1</v>
      </c>
      <c r="I277" s="16" t="inlineStr">
        <is>
          <t>QP69R51FYmg</t>
        </is>
      </c>
      <c r="J277" s="17" t="inlineStr">
        <is>
          <t>私には前から思いのひとがいます。その彼とデートが決まってうれしいです。でも、今まではおしゃれに関心がなく、慌てて新しいワンピースとイヤリングを買いました。前の日の夜緊張して寝つけなかったので、当日は映画館に行って見ているうちに寝てしまいました。だからもう連絡がないかもと落ち込んでいましたが、連絡がありうれしかったです。</t>
        </is>
      </c>
      <c r="K277" s="16" t="n"/>
    </row>
    <row r="278" ht="78.75" customFormat="1" customHeight="1" s="18">
      <c r="A278" s="16">
        <f>ROW()-1</f>
        <v/>
      </c>
      <c r="B278" s="16" t="n">
        <v>2025</v>
      </c>
      <c r="C278" s="16" t="n">
        <v>2</v>
      </c>
      <c r="D278" s="16" t="inlineStr">
        <is>
          <t>ストーリー</t>
        </is>
      </c>
      <c r="E278" s="16">
        <f>IF(D278="ストーリー", INT((COUNTIF($D$2:D278, "ストーリー")-1)/3) + 1, "NA")</f>
        <v/>
      </c>
      <c r="F278" s="16" t="inlineStr">
        <is>
          <t>デート当日に映画館でどうなりましたか。</t>
        </is>
      </c>
      <c r="G278" s="17" t="inlineStr">
        <is>
          <t>1. 泣いた
2. 遅刻した
3. 買い物した
4. 寝た</t>
        </is>
      </c>
      <c r="H278" s="16" t="n">
        <v>4</v>
      </c>
      <c r="I278" s="16" t="inlineStr">
        <is>
          <t>QP69R51FYmg</t>
        </is>
      </c>
      <c r="J278" s="17" t="inlineStr">
        <is>
          <t>私には前から思いのひとがいます。その彼とデートが決まってうれしいです。でも、今まではおしゃれに関心がなく、慌てて新しいワンピースとイヤリングを買いました。前の日の夜緊張して寝つけなかったので、当日は映画館に行って見ているうちに寝てしまいました。だからもう連絡がないかもと落ち込んでいましたが、連絡がありうれしかったです。</t>
        </is>
      </c>
      <c r="K278" s="16" t="n"/>
    </row>
    <row r="279" ht="63" customFormat="1" customHeight="1" s="18">
      <c r="A279" s="16">
        <f>ROW()-1</f>
        <v/>
      </c>
      <c r="B279" s="16" t="n">
        <v>2025</v>
      </c>
      <c r="C279" s="16" t="n">
        <v>2</v>
      </c>
      <c r="D279" s="16" t="inlineStr">
        <is>
          <t>ストーリー</t>
        </is>
      </c>
      <c r="E279" s="16">
        <f>IF(D279="ストーリー", INT((COUNTIF($D$2:D279, "ストーリー")-1)/3) + 1, "NA")</f>
        <v/>
      </c>
      <c r="F279" s="16" t="inlineStr">
        <is>
          <t>防災研修の講演で私は何の手話を教えますか。</t>
        </is>
      </c>
      <c r="G279" s="17" t="inlineStr">
        <is>
          <t>1. 地震
2. 避難訓練
3. 火事
4. 危険</t>
        </is>
      </c>
      <c r="H279" s="16" t="n">
        <v>1</v>
      </c>
      <c r="I279" s="16" t="inlineStr">
        <is>
          <t>rVzbvZ33qSk</t>
        </is>
      </c>
      <c r="J279" s="17" t="inlineStr">
        <is>
          <t>地域の防災研修で講演をするときは、「地震」「津波だ！」「あっちに逃げろ！」の手話を覚えてもらうようにしています。ろう者は見た目では聞こえないことがわかりにくいからです。災害時、声と一緒に手話で表してくれたらろう者は早く逃げられます。</t>
        </is>
      </c>
      <c r="K279" s="16" t="n"/>
    </row>
    <row r="280" ht="63" customFormat="1" customHeight="1" s="18">
      <c r="A280" s="16">
        <f>ROW()-1</f>
        <v/>
      </c>
      <c r="B280" s="16" t="n">
        <v>2025</v>
      </c>
      <c r="C280" s="16" t="n">
        <v>2</v>
      </c>
      <c r="D280" s="16" t="inlineStr">
        <is>
          <t>ストーリー</t>
        </is>
      </c>
      <c r="E280" s="16">
        <f>IF(D280="ストーリー", INT((COUNTIF($D$2:D280, "ストーリー")-1)/3) + 1, "NA")</f>
        <v/>
      </c>
      <c r="F280" s="16" t="inlineStr">
        <is>
          <t>ろう者が聞こえないことがわかりにくい理由は何ですか。</t>
        </is>
      </c>
      <c r="G280" s="17" t="inlineStr">
        <is>
          <t>1. 見た目では判断できないから
2. 声が小さいから
3. 話さないから
4. 合図をしないから</t>
        </is>
      </c>
      <c r="H280" s="16" t="n">
        <v>1</v>
      </c>
      <c r="I280" s="16" t="inlineStr">
        <is>
          <t>rVzbvZ33qSk</t>
        </is>
      </c>
      <c r="J280" s="17" t="inlineStr">
        <is>
          <t>地域の防災研修で講演をするときは、「地震」「津波だ！」「あっちに逃げろ！」の手話を覚えてもらうようにしています。ろう者は見た目では聞こえないことがわかりにくいからです。災害時、声と一緒に手話で表してくれたらろう者は早く逃げられます。</t>
        </is>
      </c>
      <c r="K280" s="16" t="n"/>
    </row>
    <row r="281" ht="63" customFormat="1" customHeight="1" s="18">
      <c r="A281" s="16">
        <f>ROW()-1</f>
        <v/>
      </c>
      <c r="B281" s="16" t="n">
        <v>2025</v>
      </c>
      <c r="C281" s="16" t="n">
        <v>2</v>
      </c>
      <c r="D281" s="16" t="inlineStr">
        <is>
          <t>ストーリー</t>
        </is>
      </c>
      <c r="E281" s="16">
        <f>IF(D281="ストーリー", INT((COUNTIF($D$2:D281, "ストーリー")-1)/3) + 1, "NA")</f>
        <v/>
      </c>
      <c r="F281" s="16" t="inlineStr">
        <is>
          <t>災害時にろう者が早く逃げられるのはどんなときですか。</t>
        </is>
      </c>
      <c r="G281" s="17" t="inlineStr">
        <is>
          <t>1. 声と一緒に手話で表してくれたとき
2. 警報が鳴ったとき
3. 消防車が来たとき
4. サイレンが鳴ったとき</t>
        </is>
      </c>
      <c r="H281" s="16" t="n">
        <v>1</v>
      </c>
      <c r="I281" s="16" t="inlineStr">
        <is>
          <t>rVzbvZ33qSk</t>
        </is>
      </c>
      <c r="J281" s="17" t="inlineStr">
        <is>
          <t>地域の防災研修で講演をするときは、「地震」「津波だ！」「あっちに逃げろ！」の手話を覚えてもらうようにしています。ろう者は見た目では聞こえないことがわかりにくいからです。災害時、声と一緒に手話で表してくれたらろう者は早く逃げられます。</t>
        </is>
      </c>
      <c r="K281" s="16" t="n"/>
    </row>
    <row r="282" ht="63" customFormat="1" customHeight="1" s="18">
      <c r="A282" s="16">
        <f>ROW()-1</f>
        <v/>
      </c>
      <c r="B282" s="16" t="n">
        <v>2025</v>
      </c>
      <c r="C282" s="16" t="n">
        <v>2</v>
      </c>
      <c r="D282" s="16" t="inlineStr">
        <is>
          <t>ストーリー</t>
        </is>
      </c>
      <c r="E282" s="16">
        <f>IF(D282="ストーリー", INT((COUNTIF($D$2:D282, "ストーリー")-1)/3) + 1, "NA")</f>
        <v/>
      </c>
      <c r="F282" s="16" t="inlineStr">
        <is>
          <t>手話サークルの運営について、秋に開催予定のものは何ですか。</t>
        </is>
      </c>
      <c r="G282" s="17" t="inlineStr">
        <is>
          <t>1. すき焼き
2. 焼肉大会
3. フォーラム
4. 講演会</t>
        </is>
      </c>
      <c r="H282" s="16" t="n">
        <v>3</v>
      </c>
      <c r="I282" s="16" t="inlineStr">
        <is>
          <t>58_AbWNmkzQ</t>
        </is>
      </c>
      <c r="J282" s="17" t="inlineStr">
        <is>
          <t>手話サークルの運営について役員会で打ち合わせをしました。秋に手話についてのフォーラムを開催する予定です。会議が終わったあとは、すき焼きの店で宴会をしました。焼酎やウィスキーを飲んで、費用は割り勘で4000円でした。</t>
        </is>
      </c>
      <c r="K282" s="16" t="inlineStr">
        <is>
          <t>牛+焼肉</t>
        </is>
      </c>
    </row>
    <row r="283" ht="63" customFormat="1" customHeight="1" s="18">
      <c r="A283" s="16">
        <f>ROW()-1</f>
        <v/>
      </c>
      <c r="B283" s="16" t="n">
        <v>2025</v>
      </c>
      <c r="C283" s="16" t="n">
        <v>2</v>
      </c>
      <c r="D283" s="16" t="inlineStr">
        <is>
          <t>ストーリー</t>
        </is>
      </c>
      <c r="E283" s="16">
        <f>IF(D283="ストーリー", INT((COUNTIF($D$2:D283, "ストーリー")-1)/3) + 1, "NA")</f>
        <v/>
      </c>
      <c r="F283" s="16" t="inlineStr">
        <is>
          <t>会議の後に行ったお店は何でしたか。</t>
        </is>
      </c>
      <c r="G283" s="17" t="inlineStr">
        <is>
          <t>1. すき焼き
2. レストラン
3. カフェ
4. 居酒屋</t>
        </is>
      </c>
      <c r="H283" s="16" t="n">
        <v>1</v>
      </c>
      <c r="I283" s="16" t="inlineStr">
        <is>
          <t>58_AbWNmkzQ</t>
        </is>
      </c>
      <c r="J283" s="17" t="inlineStr">
        <is>
          <t>手話サークルの運営について役員会で打ち合わせをしました。秋に手話についてのフォーラムを開催する予定です。会議が終わったあとは、すき焼きの店で宴会をしました。焼酎やウィスキーを飲んで、費用は割り勘で4000円でした。</t>
        </is>
      </c>
      <c r="K283" s="16" t="n"/>
    </row>
    <row r="284" ht="63" customFormat="1" customHeight="1" s="18">
      <c r="A284" s="16">
        <f>ROW()-1</f>
        <v/>
      </c>
      <c r="B284" s="16" t="n">
        <v>2025</v>
      </c>
      <c r="C284" s="16" t="n">
        <v>2</v>
      </c>
      <c r="D284" s="16" t="inlineStr">
        <is>
          <t>ストーリー</t>
        </is>
      </c>
      <c r="E284" s="16">
        <f>IF(D284="ストーリー", INT((COUNTIF($D$2:D284, "ストーリー")-1)/3) + 1, "NA")</f>
        <v/>
      </c>
      <c r="F284" s="16" t="inlineStr">
        <is>
          <t>宴会の費用はどのように支払いましたか。</t>
        </is>
      </c>
      <c r="G284" s="17" t="inlineStr">
        <is>
          <t>1. 全額負担
2. 店が負担
3. 割り勘
4. クーポンを使った</t>
        </is>
      </c>
      <c r="H284" s="16" t="n">
        <v>3</v>
      </c>
      <c r="I284" s="16" t="inlineStr">
        <is>
          <t>58_AbWNmkzQ</t>
        </is>
      </c>
      <c r="J284" s="17" t="inlineStr">
        <is>
          <t>手話サークルの運営について役員会で打ち合わせをしました。秋に手話についてのフォーラムを開催する予定です。会議が終わったあとは、すき焼きの店で宴会をしました。焼酎やウィスキーを飲んで、費用は割り勘で4000円でした。</t>
        </is>
      </c>
      <c r="K284" s="16" t="n"/>
    </row>
    <row r="285" ht="63" customFormat="1" customHeight="1" s="18">
      <c r="A285" s="16">
        <f>ROW()-1</f>
        <v/>
      </c>
      <c r="B285" s="16" t="n">
        <v>2025</v>
      </c>
      <c r="C285" s="16" t="n">
        <v>2</v>
      </c>
      <c r="D285" s="16" t="inlineStr">
        <is>
          <t>ストーリー</t>
        </is>
      </c>
      <c r="E285" s="16">
        <f>IF(D285="ストーリー", INT((COUNTIF($D$2:D285, "ストーリー")-1)/3) + 1, "NA")</f>
        <v/>
      </c>
      <c r="F285" s="16" t="inlineStr">
        <is>
          <t>私は何に驚いたのですか。</t>
        </is>
      </c>
      <c r="G285" s="17" t="inlineStr">
        <is>
          <t>1. 学校
2. 卒業式
3. 入学式
4. 教習所</t>
        </is>
      </c>
      <c r="H285" s="16" t="n">
        <v>2</v>
      </c>
      <c r="I285" s="16" t="inlineStr">
        <is>
          <t>CbCvxCe3PVk</t>
        </is>
      </c>
      <c r="J285" s="17" t="inlineStr">
        <is>
          <t>今年の3月、ろう学校の卒業式に出席した時におどろいた。校歌斉唱、校長の祝辞、卒業生の答辞まで全てに手話があった。自分の時は口話で手話はなかった。校長の祝辞や後輩の送辞の話の内容がわからないまま、式の間中たいくつだった。</t>
        </is>
      </c>
      <c r="K285" s="16" t="inlineStr">
        <is>
          <t>いらっしゃいの逆で送る</t>
        </is>
      </c>
    </row>
    <row r="286" ht="63" customFormat="1" customHeight="1" s="18">
      <c r="A286" s="16">
        <f>ROW()-1</f>
        <v/>
      </c>
      <c r="B286" s="16" t="n">
        <v>2025</v>
      </c>
      <c r="C286" s="16" t="n">
        <v>2</v>
      </c>
      <c r="D286" s="16" t="inlineStr">
        <is>
          <t>ストーリー</t>
        </is>
      </c>
      <c r="E286" s="16">
        <f>IF(D286="ストーリー", INT((COUNTIF($D$2:D286, "ストーリー")-1)/3) + 1, "NA")</f>
        <v/>
      </c>
      <c r="F286" s="16" t="inlineStr">
        <is>
          <t>卒業式で、校歌斉唱や校長の祝辞、答辞などで使われていたのは何ですか。</t>
        </is>
      </c>
      <c r="G286" s="17" t="inlineStr">
        <is>
          <t>1. 手話
2. 字幕
3. 英語
4. 音楽</t>
        </is>
      </c>
      <c r="H286" s="16" t="n">
        <v>1</v>
      </c>
      <c r="I286" s="16" t="inlineStr">
        <is>
          <t>CbCvxCe3PVk</t>
        </is>
      </c>
      <c r="J286" s="17" t="inlineStr">
        <is>
          <t>今年の3月、ろう学校の卒業式に出席した時におどろいた。校歌斉唱、校長の祝辞、卒業生の答辞まで全てに手話があった。自分の時は口話で手話はなかった。校長の祝辞や後輩の送辞の話の内容がわからないまま、式の間中たいくつだった。</t>
        </is>
      </c>
      <c r="K286" s="16" t="n"/>
    </row>
    <row r="287" ht="63" customFormat="1" customHeight="1" s="18">
      <c r="A287" s="16">
        <f>ROW()-1</f>
        <v/>
      </c>
      <c r="B287" s="16" t="n">
        <v>2025</v>
      </c>
      <c r="C287" s="16" t="n">
        <v>2</v>
      </c>
      <c r="D287" s="16" t="inlineStr">
        <is>
          <t>ストーリー</t>
        </is>
      </c>
      <c r="E287" s="16">
        <f>IF(D287="ストーリー", INT((COUNTIF($D$2:D287, "ストーリー")-1)/3) + 1, "NA")</f>
        <v/>
      </c>
      <c r="F287" s="16" t="inlineStr">
        <is>
          <t>自分が在学中の式の間中たいくつだった理由は何ですか。</t>
        </is>
      </c>
      <c r="G287" s="17" t="inlineStr">
        <is>
          <t>1. 内容がわからないままだったから
2. 眠かったから
3. 難しい話だったから
4. 長すぎたから</t>
        </is>
      </c>
      <c r="H287" s="16" t="n">
        <v>1</v>
      </c>
      <c r="I287" s="16" t="inlineStr">
        <is>
          <t>CbCvxCe3PVk</t>
        </is>
      </c>
      <c r="J287" s="17" t="inlineStr">
        <is>
          <t>今年の3月、ろう学校の卒業式に出席した時におどろいた。校歌斉唱、校長の祝辞、卒業生の答辞まで全てに手話があった。自分の時は口話で手話はなかった。校長の祝辞や後輩の送辞の話の内容がわからないまま、式の間中たいくつだった。</t>
        </is>
      </c>
      <c r="K287" s="16" t="n"/>
    </row>
    <row r="288" ht="63" customFormat="1" customHeight="1" s="18">
      <c r="A288" s="16">
        <f>ROW()-1</f>
        <v/>
      </c>
      <c r="B288" s="16" t="n">
        <v>2025</v>
      </c>
      <c r="C288" s="16" t="n">
        <v>2</v>
      </c>
      <c r="D288" s="16" t="inlineStr">
        <is>
          <t>ストーリー</t>
        </is>
      </c>
      <c r="E288" s="16">
        <f>IF(D288="ストーリー", INT((COUNTIF($D$2:D288, "ストーリー")-1)/3) + 1, "NA")</f>
        <v/>
      </c>
      <c r="F288" s="16" t="inlineStr">
        <is>
          <t>私の趣味は何ですか。</t>
        </is>
      </c>
      <c r="G288" s="17" t="inlineStr">
        <is>
          <t>1. スポーツ観戦
2. 音楽鑑賞
3. 読書
4. 旅行</t>
        </is>
      </c>
      <c r="H288" s="16" t="n">
        <v>1</v>
      </c>
      <c r="I288" s="16" t="inlineStr">
        <is>
          <t>Kxq1Up0oMrQ</t>
        </is>
      </c>
      <c r="J288" s="17" t="inlineStr">
        <is>
          <t>私の趣味はスポーツ観戦で、特に野球が好きです。最近、アメリカでの日本人選手の活躍は素晴らしいです。大谷翔平、ダルビッシュ有などです。私は大谷選手のファンで、テレビを見ながらビールを飲むのが一番の楽しみです。将来、デフリンピックでも野球が競技として採用されるといいなと思います。</t>
        </is>
      </c>
      <c r="K288" s="16" t="n"/>
    </row>
    <row r="289" ht="63" customFormat="1" customHeight="1" s="18">
      <c r="A289" s="16">
        <f>ROW()-1</f>
        <v/>
      </c>
      <c r="B289" s="16" t="n">
        <v>2025</v>
      </c>
      <c r="C289" s="16" t="n">
        <v>2</v>
      </c>
      <c r="D289" s="16" t="inlineStr">
        <is>
          <t>ストーリー</t>
        </is>
      </c>
      <c r="E289" s="16">
        <f>IF(D289="ストーリー", INT((COUNTIF($D$2:D289, "ストーリー")-1)/3) + 1, "NA")</f>
        <v/>
      </c>
      <c r="F289" s="16" t="inlineStr">
        <is>
          <t>私が特に好きなスポーツ選手は誰ですか。</t>
        </is>
      </c>
      <c r="G289" s="17" t="inlineStr">
        <is>
          <t>1. 錦織圭
2. 大谷翔平
3. 本田圭佑
4. ダルビッシュ有</t>
        </is>
      </c>
      <c r="H289" s="16" t="n">
        <v>2</v>
      </c>
      <c r="I289" s="16" t="inlineStr">
        <is>
          <t>Kxq1Up0oMrQ</t>
        </is>
      </c>
      <c r="J289" s="17" t="inlineStr">
        <is>
          <t>私の趣味はスポーツ観戦で、特に野球が好きです。最近、アメリカでの日本人選手の活躍は素晴らしいです。大谷翔平、ダルビッシュ有などです。私は大谷選手のファンで、テレビを見ながらビールを飲むのが一番の楽しみです。将来、デフリンピックでも野球が競技として採用されるといいなと思います。</t>
        </is>
      </c>
      <c r="K289" s="16" t="n"/>
    </row>
    <row r="290" ht="63" customFormat="1" customHeight="1" s="18">
      <c r="A290" s="16">
        <f>ROW()-1</f>
        <v/>
      </c>
      <c r="B290" s="16" t="n">
        <v>2025</v>
      </c>
      <c r="C290" s="16" t="n">
        <v>2</v>
      </c>
      <c r="D290" s="16" t="inlineStr">
        <is>
          <t>ストーリー</t>
        </is>
      </c>
      <c r="E290" s="16">
        <f>IF(D290="ストーリー", INT((COUNTIF($D$2:D290, "ストーリー")-1)/3) + 1, "NA")</f>
        <v/>
      </c>
      <c r="F290" s="16" t="inlineStr">
        <is>
          <t>将来、デフリンピックで採用されるといいなと思っている競技は何ですか。</t>
        </is>
      </c>
      <c r="G290" s="17" t="inlineStr">
        <is>
          <t>1. サッカー
2. 野球
3. テニス
4. バレーボール</t>
        </is>
      </c>
      <c r="H290" s="16" t="n">
        <v>2</v>
      </c>
      <c r="I290" s="16" t="inlineStr">
        <is>
          <t>Kxq1Up0oMrQ</t>
        </is>
      </c>
      <c r="J290" s="17" t="inlineStr">
        <is>
          <t>私の趣味はスポーツ観戦で、特に野球が好きです。最近、アメリカでの日本人選手の活躍は素晴らしいです。大谷翔平、ダルビッシュ有などです。私は大谷選手のファンで、テレビを見ながらビールを飲むのが一番の楽しみです。将来、デフリンピックでも野球が競技として採用されるといいなと思います。</t>
        </is>
      </c>
      <c r="K290" s="16" t="n"/>
    </row>
    <row r="291" ht="78.75" customHeight="1">
      <c r="A291" s="1">
        <f>ROW()-1</f>
        <v/>
      </c>
      <c r="B291" s="1" t="n">
        <v>2025</v>
      </c>
      <c r="C291" s="1" t="inlineStr">
        <is>
          <t>準1</t>
        </is>
      </c>
      <c r="D291" s="1" t="inlineStr">
        <is>
          <t>ストーリー</t>
        </is>
      </c>
      <c r="E291" s="1">
        <f>IF(D291="ストーリー", INT((COUNTIF($D$2:D291, "ストーリー")-1)/3) + 1, "NA")</f>
        <v/>
      </c>
      <c r="F291" s="1" t="inlineStr">
        <is>
          <t>私はどのような活動をしていると述べていますか？</t>
        </is>
      </c>
      <c r="G291" s="2" t="inlineStr">
        <is>
          <t>1. 動物園で働いている
2. 博物館でボランティア
3. 手話サークルに所属している
4. 学校で講師をしている</t>
        </is>
      </c>
      <c r="H291" s="1" t="n">
        <v>2</v>
      </c>
      <c r="I291" s="1" t="inlineStr">
        <is>
          <t>3hcm663ysUA</t>
        </is>
      </c>
      <c r="J291" s="2" t="inlineStr">
        <is>
          <t>私は博物館で、希望に応じて展示や施設等について解説するボランティア活動をしています。お客様に対しては、手話で案内の支援もしています。また、江戸時代以前のヨーロッパの価値ある文化財を手話で解説した動画を見ることができる取り組みもしています。手話での情報保障は大切ですね。今ではボランティア活動が私の人生の生きがいです。</t>
        </is>
      </c>
      <c r="K291" s="1" t="n"/>
    </row>
    <row r="292" ht="78.75" customHeight="1">
      <c r="A292" s="1">
        <f>ROW()-1</f>
        <v/>
      </c>
      <c r="B292" s="1" t="n">
        <v>2025</v>
      </c>
      <c r="C292" s="1" t="inlineStr">
        <is>
          <t>準1</t>
        </is>
      </c>
      <c r="D292" s="1" t="inlineStr">
        <is>
          <t>ストーリー</t>
        </is>
      </c>
      <c r="E292" s="1">
        <f>IF(D292="ストーリー", INT((COUNTIF($D$2:D292, "ストーリー")-1)/3) + 1, "NA")</f>
        <v/>
      </c>
      <c r="F292" s="1" t="inlineStr">
        <is>
          <t>私はどのような文化財を手話で解説していると述べていますか？</t>
        </is>
      </c>
      <c r="G292" s="2" t="inlineStr">
        <is>
          <t>1. 日本の伝統工芸品
2. アジアの文化遺産
3. ヨーロッパの文化財
4. 現代美術の作品</t>
        </is>
      </c>
      <c r="H292" s="1" t="n">
        <v>3</v>
      </c>
      <c r="I292" s="1" t="inlineStr">
        <is>
          <t>3hcm663ysUA</t>
        </is>
      </c>
      <c r="J292" s="2" t="inlineStr">
        <is>
          <t>私は博物館で、希望に応じて展示や施設等について解説するボランティア活動をしています。お客様に対しては、手話で案内の支援もしています。また、江戸時代以前のヨーロッパの価値ある文化財を手話で解説した動画を見ることができる取り組みもしています。手話での情報保障は大切ですね。今ではボランティア活動が私の人生の生きがいです。</t>
        </is>
      </c>
      <c r="K292" s="1" t="n"/>
    </row>
    <row r="293" ht="78.75" customHeight="1">
      <c r="A293" s="1">
        <f>ROW()-1</f>
        <v/>
      </c>
      <c r="B293" s="1" t="n">
        <v>2025</v>
      </c>
      <c r="C293" s="1" t="inlineStr">
        <is>
          <t>準1</t>
        </is>
      </c>
      <c r="D293" s="1" t="inlineStr">
        <is>
          <t>ストーリー</t>
        </is>
      </c>
      <c r="E293" s="1">
        <f>IF(D293="ストーリー", INT((COUNTIF($D$2:D293, "ストーリー")-1)/3) + 1, "NA")</f>
        <v/>
      </c>
      <c r="F293" s="1" t="inlineStr">
        <is>
          <t>この人にとってボランティア活動はどのような存在ですか？</t>
        </is>
      </c>
      <c r="G293" s="2" t="inlineStr">
        <is>
          <t>1. 生きがいである
2. 貴重な経験である
3. 趣味の一つである
4. 社会貢献の一環である</t>
        </is>
      </c>
      <c r="H293" s="1" t="n">
        <v>1</v>
      </c>
      <c r="I293" s="1" t="inlineStr">
        <is>
          <t>3hcm663ysUA</t>
        </is>
      </c>
      <c r="J293" s="2" t="inlineStr">
        <is>
          <t>私は博物館で、希望に応じて展示や施設等について解説するボランティア活動をしています。お客様に対しては、手話で案内の支援もしています。また、江戸時代以前のヨーロッパの価値ある文化財を手話で解説した動画を見ることができる取り組みもしています。手話での情報保障は大切ですね。今ではボランティア活動が私の人生の生きがいです。</t>
        </is>
      </c>
      <c r="K293" s="1" t="n"/>
    </row>
    <row r="294" ht="78.75" customHeight="1">
      <c r="A294" s="1">
        <f>ROW()-1</f>
        <v/>
      </c>
      <c r="B294" s="1" t="n">
        <v>2025</v>
      </c>
      <c r="C294" s="1" t="inlineStr">
        <is>
          <t>準1</t>
        </is>
      </c>
      <c r="D294" s="1" t="inlineStr">
        <is>
          <t>ストーリー</t>
        </is>
      </c>
      <c r="E294" s="1">
        <f>IF(D294="ストーリー", INT((COUNTIF($D$2:D294, "ストーリー")-1)/3) + 1, "NA")</f>
        <v/>
      </c>
      <c r="F294" s="1" t="inlineStr">
        <is>
          <t>どの果物について私は言及していますか？</t>
        </is>
      </c>
      <c r="G294" s="2" t="inlineStr">
        <is>
          <t>1. ミカン
2. リンゴ
3. グレープフルーツ
4. バナナ</t>
        </is>
      </c>
      <c r="H294" s="1" t="n">
        <v>3</v>
      </c>
      <c r="I294" s="1" t="inlineStr">
        <is>
          <t>YXcw1P-ZZPI</t>
        </is>
      </c>
      <c r="J294" s="2" t="inlineStr">
        <is>
          <t>皆さん、ミカンやリンゴ等の果物は好きですか。私は血圧が高いために降圧剤を飲んでいます。グレープフルーツは薬との関係で控えたほうがよいらしいです。医学については具体的なことはわかりませんが、以前、胃潰瘍や頸肩腕障害にもかかりました。今後は自分の人生を真面目に考えて、健康に気をつけたいと思います。</t>
        </is>
      </c>
      <c r="K294" s="1" t="n"/>
    </row>
    <row r="295" ht="78.75" customHeight="1">
      <c r="A295" s="1">
        <f>ROW()-1</f>
        <v/>
      </c>
      <c r="B295" s="1" t="n">
        <v>2025</v>
      </c>
      <c r="C295" s="1" t="inlineStr">
        <is>
          <t>準1</t>
        </is>
      </c>
      <c r="D295" s="1" t="inlineStr">
        <is>
          <t>ストーリー</t>
        </is>
      </c>
      <c r="E295" s="1">
        <f>IF(D295="ストーリー", INT((COUNTIF($D$2:D295, "ストーリー")-1)/3) + 1, "NA")</f>
        <v/>
      </c>
      <c r="F295" s="1" t="inlineStr">
        <is>
          <t>以前私はどのような病気で病院にかかったと述べていますか？</t>
        </is>
      </c>
      <c r="G295" s="2" t="inlineStr">
        <is>
          <t>1. 高血圧
2. 胃潰瘍
3. 糖尿病
4. 心臓病</t>
        </is>
      </c>
      <c r="H295" s="1" t="n">
        <v>2</v>
      </c>
      <c r="I295" s="1" t="inlineStr">
        <is>
          <t>YXcw1P-ZZPI</t>
        </is>
      </c>
      <c r="J295" s="2" t="inlineStr">
        <is>
          <t>皆さん、ミカンやリンゴ等の果物は好きですか。私は血圧が高いために降圧剤を飲んでいます。グレープフルーツは薬との関係で控えたほうがよいらしいです。医学については具体的なことはわかりませんが、以前、胃潰瘍や頸肩腕障害にもかかりました。今後は自分の人生を真面目に考えて、健康に気をつけたいと思います。</t>
        </is>
      </c>
      <c r="K295" s="1" t="n"/>
    </row>
    <row r="296" ht="78.75" customHeight="1">
      <c r="A296" s="1">
        <f>ROW()-1</f>
        <v/>
      </c>
      <c r="B296" s="1" t="n">
        <v>2025</v>
      </c>
      <c r="C296" s="1" t="inlineStr">
        <is>
          <t>準1</t>
        </is>
      </c>
      <c r="D296" s="1" t="inlineStr">
        <is>
          <t>ストーリー</t>
        </is>
      </c>
      <c r="E296" s="1">
        <f>IF(D296="ストーリー", INT((COUNTIF($D$2:D296, "ストーリー")-1)/3) + 1, "NA")</f>
        <v/>
      </c>
      <c r="F296" s="1" t="inlineStr">
        <is>
          <t>この人が今後気をつけたいと述べているのは何ですか？</t>
        </is>
      </c>
      <c r="G296" s="2" t="inlineStr">
        <is>
          <t>1. 食生活
2. 健康
3. 運動習慣
4. 薬の服用</t>
        </is>
      </c>
      <c r="H296" s="1" t="n">
        <v>2</v>
      </c>
      <c r="I296" s="1" t="inlineStr">
        <is>
          <t>YXcw1P-ZZPI</t>
        </is>
      </c>
      <c r="J296" s="2" t="inlineStr">
        <is>
          <t>皆さん、ミカンやリンゴ等の果物は好きですか。私は血圧が高いために降圧剤を飲んでいます。グレープフルーツは薬との関係で控えたほうがよいらしいです。医学については具体的なことはわかりませんが、以前、胃潰瘍や頸肩腕障害にもかかりました。今後は自分の人生を真面目に考えて、健康に気をつけたいと思います。</t>
        </is>
      </c>
      <c r="K296" s="1" t="n"/>
    </row>
    <row r="297" ht="78.75" customHeight="1">
      <c r="A297" s="1">
        <f>ROW()-1</f>
        <v/>
      </c>
      <c r="B297" s="1" t="n">
        <v>2025</v>
      </c>
      <c r="C297" s="1" t="inlineStr">
        <is>
          <t>準1</t>
        </is>
      </c>
      <c r="D297" s="1" t="inlineStr">
        <is>
          <t>ストーリー</t>
        </is>
      </c>
      <c r="E297" s="1">
        <f>IF(D297="ストーリー", INT((COUNTIF($D$2:D297, "ストーリー")-1)/3) + 1, "NA")</f>
        <v/>
      </c>
      <c r="F297" s="1" t="inlineStr">
        <is>
          <t>私が参加したのはどの教室ですか？</t>
        </is>
      </c>
      <c r="G297" s="2" t="inlineStr">
        <is>
          <t>1. バランスボール教室
2. ヨガ教室
3. 水泳教室
4. 英会話教室</t>
        </is>
      </c>
      <c r="H297" s="1" t="n">
        <v>1</v>
      </c>
      <c r="I297" s="1" t="inlineStr">
        <is>
          <t>EIX3v4u3Rhc</t>
        </is>
      </c>
      <c r="J297" s="2" t="inlineStr">
        <is>
          <t>少し前に、社会福祉協議会が企画したバランスボール教室に参加しました。時間は1時間でしたが、とても楽しくてあっという間に終わってしまいました。今は手話サークルの友達と一緒に毎週水曜日に通っています。バランスボールは、膝や関節に負担がなくできます。体幹を鍛えることができ、背中をまっすぐにすることもできます。</t>
        </is>
      </c>
      <c r="K297" s="1" t="n"/>
    </row>
    <row r="298" ht="78.75" customHeight="1">
      <c r="A298" s="1">
        <f>ROW()-1</f>
        <v/>
      </c>
      <c r="B298" s="1" t="n">
        <v>2025</v>
      </c>
      <c r="C298" s="1" t="inlineStr">
        <is>
          <t>準1</t>
        </is>
      </c>
      <c r="D298" s="1" t="inlineStr">
        <is>
          <t>ストーリー</t>
        </is>
      </c>
      <c r="E298" s="1">
        <f>IF(D298="ストーリー", INT((COUNTIF($D$2:D298, "ストーリー")-1)/3) + 1, "NA")</f>
        <v/>
      </c>
      <c r="F298" s="1" t="inlineStr">
        <is>
          <t>バランスボール教室を企画したのはどこですか？</t>
        </is>
      </c>
      <c r="G298" s="2" t="inlineStr">
        <is>
          <t>1. 市役所
2. 手話サークル
3. 学校
4. 社会福祉協議会</t>
        </is>
      </c>
      <c r="H298" s="1" t="n">
        <v>4</v>
      </c>
      <c r="I298" s="1" t="inlineStr">
        <is>
          <t>EIX3v4u3Rhc</t>
        </is>
      </c>
      <c r="J298" s="2" t="inlineStr">
        <is>
          <t>少し前に、社会福祉協議会が企画したバランスボール教室に参加しました。時間は1時間でしたが、とても楽しくてあっという間に終わってしまいました。今は手話サークルの友達と一緒に毎週水曜日に通っています。バランスボールは、膝や関節に負担がなくできます。体幹を鍛えることができ、背中をまっすぐにすることもできます。</t>
        </is>
      </c>
      <c r="K298" s="1" t="n"/>
    </row>
    <row r="299" ht="78.75" customHeight="1">
      <c r="A299" s="1">
        <f>ROW()-1</f>
        <v/>
      </c>
      <c r="B299" s="1" t="n">
        <v>2025</v>
      </c>
      <c r="C299" s="1" t="inlineStr">
        <is>
          <t>準1</t>
        </is>
      </c>
      <c r="D299" s="1" t="inlineStr">
        <is>
          <t>ストーリー</t>
        </is>
      </c>
      <c r="E299" s="1">
        <f>IF(D299="ストーリー", INT((COUNTIF($D$2:D299, "ストーリー")-1)/3) + 1, "NA")</f>
        <v/>
      </c>
      <c r="F299" s="1" t="inlineStr">
        <is>
          <t>バランスボールで鍛えられると説明されているのは何ですか？</t>
        </is>
      </c>
      <c r="G299" s="2" t="inlineStr">
        <is>
          <t>1. 体幹
2. 足腰
3. 心肺機能
4. 柔軟性</t>
        </is>
      </c>
      <c r="H299" s="1" t="n">
        <v>1</v>
      </c>
      <c r="I299" s="1" t="inlineStr">
        <is>
          <t>EIX3v4u3Rhc</t>
        </is>
      </c>
      <c r="J299" s="2" t="inlineStr">
        <is>
          <t>少し前に、社会福祉協議会が企画したバランスボール教室に参加しました。時間は1時間でしたが、とても楽しくてあっという間に終わってしまいました。今は手話サークルの友達と一緒に毎週水曜日に通っています。バランスボールは、膝や関節に負担がなくできます。体幹を鍛えることができ、背中をまっすぐにすることもできます。</t>
        </is>
      </c>
      <c r="K299" s="1" t="n"/>
    </row>
    <row r="300" ht="78.75" customHeight="1">
      <c r="A300" s="1">
        <f>ROW()-1</f>
        <v/>
      </c>
      <c r="B300" s="1" t="n">
        <v>2025</v>
      </c>
      <c r="C300" s="1" t="inlineStr">
        <is>
          <t>準1</t>
        </is>
      </c>
      <c r="D300" s="1" t="inlineStr">
        <is>
          <t>ストーリー</t>
        </is>
      </c>
      <c r="E300" s="1">
        <f>IF(D300="ストーリー", INT((COUNTIF($D$2:D300, "ストーリー")-1)/3) + 1, "NA")</f>
        <v/>
      </c>
      <c r="F300" s="1" t="inlineStr">
        <is>
          <t>私が行きたいと思っていた国はどこですか？</t>
        </is>
      </c>
      <c r="G300" s="2" t="inlineStr">
        <is>
          <t>1. スペイン
2. フランス
3. イタリア
4. ドイツ</t>
        </is>
      </c>
      <c r="H300" s="1" t="n">
        <v>1</v>
      </c>
      <c r="I300" s="1" t="inlineStr">
        <is>
          <t>GlHvox1CdXI</t>
        </is>
      </c>
      <c r="J300" s="2" t="inlineStr">
        <is>
          <t>5月の連休のとき、前から行きたいと思っていた外国へ旅行に行きました。1ドル150円以上の円安が続いていたため、スペインに行きたいと考えていたけれど、費用が高くついてしまう。思い切って、東南アジアの国々に注目してツアー会社を調べ、タイとベトナムを選びました。日本と共通する文化に親しみを感じ、全く違う文化も学び、十分に視野を広げることができました。</t>
        </is>
      </c>
      <c r="K300" s="1" t="n"/>
    </row>
    <row r="301" ht="78.75" customHeight="1">
      <c r="A301" s="1">
        <f>ROW()-1</f>
        <v/>
      </c>
      <c r="B301" s="1" t="n">
        <v>2025</v>
      </c>
      <c r="C301" s="1" t="inlineStr">
        <is>
          <t>準1</t>
        </is>
      </c>
      <c r="D301" s="1" t="inlineStr">
        <is>
          <t>ストーリー</t>
        </is>
      </c>
      <c r="E301" s="1">
        <f>IF(D301="ストーリー", INT((COUNTIF($D$2:D301, "ストーリー")-1)/3) + 1, "NA")</f>
        <v/>
      </c>
      <c r="F301" s="1" t="inlineStr">
        <is>
          <t>東南アジア旅行を決める際に利用したのは何ですか？</t>
        </is>
      </c>
      <c r="G301" s="2" t="inlineStr">
        <is>
          <t>1. インターネット掲示板
2. 知人の紹介
3. ガイドブック
4. ツアー会社を調べて決めた</t>
        </is>
      </c>
      <c r="H301" s="1" t="n">
        <v>4</v>
      </c>
      <c r="I301" s="1" t="inlineStr">
        <is>
          <t>GlHvox1CdXI</t>
        </is>
      </c>
      <c r="J301" s="2" t="inlineStr">
        <is>
          <t>5月の連休のとき、前から行きたいと思っていた外国へ旅行に行きました。1ドル150円以上の円安が続いていたため、スペインに行きたいと考えていたけれど、費用が高くついてしまう。思い切って、東南アジアの国々に注目してツアー会社を調べ、タイとベトナムを選びました。日本と共通する文化に親しみを感じ、全く違う文化も学び、十分に視野を広げることができました。</t>
        </is>
      </c>
      <c r="K301" s="1" t="n"/>
    </row>
    <row r="302" ht="78.75" customHeight="1">
      <c r="A302" s="1">
        <f>ROW()-1</f>
        <v/>
      </c>
      <c r="B302" s="1" t="n">
        <v>2025</v>
      </c>
      <c r="C302" s="1" t="inlineStr">
        <is>
          <t>準1</t>
        </is>
      </c>
      <c r="D302" s="1" t="inlineStr">
        <is>
          <t>ストーリー</t>
        </is>
      </c>
      <c r="E302" s="1">
        <f>IF(D302="ストーリー", INT((COUNTIF($D$2:D302, "ストーリー")-1)/3) + 1, "NA")</f>
        <v/>
      </c>
      <c r="F302" s="1" t="inlineStr">
        <is>
          <t>この旅行で得られたことは何ですか？</t>
        </is>
      </c>
      <c r="G302" s="2" t="inlineStr">
        <is>
          <t>1. 視野を広げることができた
2. 新しい友人ができた
3. 言語を習得できた
4. ビジネスの経験を積めた</t>
        </is>
      </c>
      <c r="H302" s="1" t="n">
        <v>1</v>
      </c>
      <c r="I302" s="1" t="inlineStr">
        <is>
          <t>GlHvox1CdXI</t>
        </is>
      </c>
      <c r="J302" s="2" t="inlineStr">
        <is>
          <t>5月の連休のとき、前から行きたいと思っていた外国へ旅行に行きました。1ドル150円以上の円安が続いていたため、スペインに行きたいと考えていたけれど、費用が高くついてしまう。思い切って、東南アジアの国々に注目してツアー会社を調べ、タイとベトナムを選びました。日本と共通する文化に親しみを感じ、全く違う文化も学び、十分に視野を広げることができました。</t>
        </is>
      </c>
      <c r="K302" s="1" t="n"/>
    </row>
    <row r="303" ht="78.75" customHeight="1">
      <c r="A303" s="1">
        <f>ROW()-1</f>
        <v/>
      </c>
      <c r="B303" s="1" t="n">
        <v>2025</v>
      </c>
      <c r="C303" s="1" t="inlineStr">
        <is>
          <t>準1</t>
        </is>
      </c>
      <c r="D303" s="1" t="inlineStr">
        <is>
          <t>ストーリー</t>
        </is>
      </c>
      <c r="E303" s="1">
        <f>IF(D303="ストーリー", INT((COUNTIF($D$2:D303, "ストーリー")-1)/3) + 1, "NA")</f>
        <v/>
      </c>
      <c r="F303" s="1" t="inlineStr">
        <is>
          <t>父が診断された病気は何ですか？</t>
        </is>
      </c>
      <c r="G303" s="2" t="inlineStr">
        <is>
          <t>1. 糖尿病
2. 高血圧
3. アルツハイマー病
4. 心臓病</t>
        </is>
      </c>
      <c r="H303" s="1" t="n">
        <v>3</v>
      </c>
      <c r="I303" s="1" t="inlineStr">
        <is>
          <t>Pz_rI0vdRzM</t>
        </is>
      </c>
      <c r="J303" s="2" t="inlineStr">
        <is>
          <t>私の父は、最近物忘れが多くなりました。本人も「認知症か」と気にしていたので、病院に行って診察を受けました。検査の結果、アルツハイマー病と診断されました。体力の衰えも進んでいます。一人暮らしの父を家族だけで支援するには限界があります。来週、市役所に行って、介護保険の手続きをしたいと思います。</t>
        </is>
      </c>
      <c r="K303" s="1" t="n"/>
    </row>
    <row r="304" ht="78.75" customHeight="1">
      <c r="A304" s="1">
        <f>ROW()-1</f>
        <v/>
      </c>
      <c r="B304" s="1" t="n">
        <v>2025</v>
      </c>
      <c r="C304" s="1" t="inlineStr">
        <is>
          <t>準1</t>
        </is>
      </c>
      <c r="D304" s="1" t="inlineStr">
        <is>
          <t>ストーリー</t>
        </is>
      </c>
      <c r="E304" s="1">
        <f>IF(D304="ストーリー", INT((COUNTIF($D$2:D304, "ストーリー")-1)/3) + 1, "NA")</f>
        <v/>
      </c>
      <c r="F304" s="1" t="inlineStr">
        <is>
          <t>一人暮らしの父を家族だけで支援するにはどうか？</t>
        </is>
      </c>
      <c r="G304" s="2" t="inlineStr">
        <is>
          <t>1. 容易である
2. 限界がある
3. 全く必要ない
4. 自治会が支援する</t>
        </is>
      </c>
      <c r="H304" s="1" t="n">
        <v>2</v>
      </c>
      <c r="I304" s="1" t="inlineStr">
        <is>
          <t>Pz_rI0vdRzM</t>
        </is>
      </c>
      <c r="J304" s="2" t="inlineStr">
        <is>
          <t>私の父は、最近物忘れが多くなりました。本人も「認知症か」と気にしていたので、病院に行って診察を受けました。検査の結果、アルツハイマー病と診断されました。体力の衰えも進んでいます。一人暮らしの父を家族だけで支援するには限界があります。来週、市役所に行って、介護保険の手続きをしたいと思います。</t>
        </is>
      </c>
      <c r="K304" s="1" t="n"/>
    </row>
    <row r="305" ht="78.75" customHeight="1">
      <c r="A305" s="1">
        <f>ROW()-1</f>
        <v/>
      </c>
      <c r="B305" s="1" t="n">
        <v>2025</v>
      </c>
      <c r="C305" s="1" t="inlineStr">
        <is>
          <t>準1</t>
        </is>
      </c>
      <c r="D305" s="1" t="inlineStr">
        <is>
          <t>ストーリー</t>
        </is>
      </c>
      <c r="E305" s="1">
        <f>IF(D305="ストーリー", INT((COUNTIF($D$2:D305, "ストーリー")-1)/3) + 1, "NA")</f>
        <v/>
      </c>
      <c r="F305" s="1" t="inlineStr">
        <is>
          <t>来週予定している行動は何ですか？</t>
        </is>
      </c>
      <c r="G305" s="2" t="inlineStr">
        <is>
          <t>1. デイサービスを利用する
2. 病院で再検査を受ける
3. 引っ越しの準備をする
4. 介護保険の手続きをしに行く</t>
        </is>
      </c>
      <c r="H305" s="1" t="n">
        <v>4</v>
      </c>
      <c r="I305" s="1" t="inlineStr">
        <is>
          <t>Pz_rI0vdRzM</t>
        </is>
      </c>
      <c r="J305" s="2" t="inlineStr">
        <is>
          <t>私の父は、最近物忘れが多くなりました。本人も「認知症か」と気にしていたので、病院に行って診察を受けました。検査の結果、アルツハイマー病と診断されました。体力の衰えも進んでいます。一人暮らしの父を家族だけで支援するには限界があります。来週、市役所に行って、介護保険の手続きをしたいと思います。</t>
        </is>
      </c>
      <c r="K305" s="1" t="n"/>
    </row>
    <row r="306" ht="94.5" customHeight="1">
      <c r="A306" s="1">
        <f>ROW()-1</f>
        <v/>
      </c>
      <c r="B306" s="1" t="n">
        <v>2025</v>
      </c>
      <c r="C306" s="1" t="n">
        <v>1</v>
      </c>
      <c r="D306" s="1" t="inlineStr">
        <is>
          <t>ストーリー</t>
        </is>
      </c>
      <c r="E306" s="1">
        <f>IF(D306="ストーリー", INT((COUNTIF($D$2:D306, "ストーリー")-1)/3) + 1, "NA")</f>
        <v/>
      </c>
      <c r="F306" s="1" t="inlineStr">
        <is>
          <t>お金では買えないと思った経験は何ですか？</t>
        </is>
      </c>
      <c r="G306" s="2" t="inlineStr">
        <is>
          <t>1. スポーツ観戦 
2. 修学旅行
3. 家族旅行 
4. 学校祭</t>
        </is>
      </c>
      <c r="H306" s="1" t="n">
        <v>2</v>
      </c>
      <c r="I306" s="1" t="inlineStr">
        <is>
          <t>o0V7-hXkYXs</t>
        </is>
      </c>
      <c r="J306" s="2" t="inlineStr">
        <is>
          <t>中学に入学した長男の修学旅行の経費のお知らせがきた。コロナ禍で修学旅行に行けなかった先輩たちを考えると、お金では買えない貴重な経験をさせたいと思うのは親心だ。学校と塾、2つの習い事の経費に、毎月6千円の積立てが加わるのは厳しい。教育費の足しに、パートの勤務時間を長くしてもらえるか申し出てみた。スマホのアプリを使って、空いた時間にできるアルバイトを探そうと思う。</t>
        </is>
      </c>
      <c r="K306" s="1" t="n"/>
    </row>
    <row r="307" ht="94.5" customHeight="1">
      <c r="A307" s="1">
        <f>ROW()-1</f>
        <v/>
      </c>
      <c r="B307" s="1" t="n">
        <v>2025</v>
      </c>
      <c r="C307" s="1" t="n">
        <v>1</v>
      </c>
      <c r="D307" s="1" t="inlineStr">
        <is>
          <t>ストーリー</t>
        </is>
      </c>
      <c r="E307" s="1">
        <f>IF(D307="ストーリー", INT((COUNTIF($D$2:D307, "ストーリー")-1)/3) + 1, "NA")</f>
        <v/>
      </c>
      <c r="F307" s="1" t="inlineStr">
        <is>
          <t>申し出たことは何ですか？</t>
        </is>
      </c>
      <c r="G307" s="2" t="inlineStr">
        <is>
          <t>1. 空いた時間のアルバイト 
2. 習い事を減らすこと 
3. 仕事時間の延長
4. 親戚に援助を依頼</t>
        </is>
      </c>
      <c r="H307" s="1" t="n">
        <v>3</v>
      </c>
      <c r="I307" s="1" t="inlineStr">
        <is>
          <t>o0V7-hXkYXs</t>
        </is>
      </c>
      <c r="J307" s="2" t="inlineStr">
        <is>
          <t>中学に入学した長男の修学旅行の経費のお知らせがきた。コロナ禍で修学旅行に行けなかった先輩たちを考えると、お金では買えない貴重な経験をさせたいと思うのは親心だ。学校と塾、2つの習い事の経費に、毎月6千円の積立てが加わるのは厳しい。教育費の足しに、パートの勤務時間を長くしてもらえるか申し出てみた。スマホのアプリを使って、空いた時間にできるアルバイトを探そうと思う。</t>
        </is>
      </c>
      <c r="K307" s="1" t="n"/>
    </row>
    <row r="308" ht="94.5" customHeight="1">
      <c r="A308" s="1">
        <f>ROW()-1</f>
        <v/>
      </c>
      <c r="B308" s="1" t="n">
        <v>2025</v>
      </c>
      <c r="C308" s="1" t="n">
        <v>1</v>
      </c>
      <c r="D308" s="1" t="inlineStr">
        <is>
          <t>ストーリー</t>
        </is>
      </c>
      <c r="E308" s="1">
        <f>IF(D308="ストーリー", INT((COUNTIF($D$2:D308, "ストーリー")-1)/3) + 1, "NA")</f>
        <v/>
      </c>
      <c r="F308" s="1" t="inlineStr">
        <is>
          <t>どんな方法でアルバイトを探そうとしましたか？</t>
        </is>
      </c>
      <c r="G308" s="2" t="inlineStr">
        <is>
          <t>1. スマホアプリ 
2. 新聞の求人欄 
3. 学校の紹介 
4. 友人の紹介</t>
        </is>
      </c>
      <c r="H308" s="1" t="n">
        <v>1</v>
      </c>
      <c r="I308" s="1" t="inlineStr">
        <is>
          <t>o0V7-hXkYXs</t>
        </is>
      </c>
      <c r="J308" s="2" t="inlineStr">
        <is>
          <t>中学に入学した長男の修学旅行の経費のお知らせがきた。コロナ禍で修学旅行に行けなかった先輩たちを考えると、お金では買えない貴重な経験をさせたいと思うのは親心だ。学校と塾、2つの習い事の経費に、毎月6千円の積立てが加わるのは厳しい。教育費の足しに、パートの勤務時間を長くしてもらえるか申し出てみた。スマホのアプリを使って、空いた時間にできるアルバイトを探そうと思う。</t>
        </is>
      </c>
      <c r="K308" s="1" t="n"/>
    </row>
    <row r="309" ht="110.25" customHeight="1">
      <c r="A309" s="1">
        <f>ROW()-1</f>
        <v/>
      </c>
      <c r="B309" s="1" t="n">
        <v>2025</v>
      </c>
      <c r="C309" s="1" t="n">
        <v>1</v>
      </c>
      <c r="D309" s="1" t="inlineStr">
        <is>
          <t>ストーリー</t>
        </is>
      </c>
      <c r="E309" s="1">
        <f>IF(D309="ストーリー", INT((COUNTIF($D$2:D309, "ストーリー")-1)/3) + 1, "NA")</f>
        <v/>
      </c>
      <c r="F309" s="1" t="inlineStr">
        <is>
          <t>講演会を依頼したのは誰ですか？</t>
        </is>
      </c>
      <c r="G309" s="2" t="inlineStr">
        <is>
          <t>1. 医師 
2. 教師 
3. 防災士 
4. 消防士</t>
        </is>
      </c>
      <c r="H309" s="1" t="n">
        <v>3</v>
      </c>
      <c r="I309" s="1" t="inlineStr">
        <is>
          <t>muMwlOt5JJY</t>
        </is>
      </c>
      <c r="J309" s="2" t="inlineStr">
        <is>
          <t>今年は防災士に依頼して講演会を行いました。令和6年1月1日能登半島地震が発生したことをきっかけに催されました。地震発生当時の状況や避難すべき地域かどうか、パニックにならないで、行動をしてほしいと話されました。次はハザードマップの説明でした。自分の住む地域にどんな危険があるか、雨による増水や土砂崩れの心配はないかなどよく知っておくことということです。最後に防災の備えについて勉強しました。1981年6月から施行された新耐震基準で建てられた家かどうかを確認する必要があることの話はとても勉強になりました。</t>
        </is>
      </c>
      <c r="K309" s="1" t="n"/>
    </row>
    <row r="310" ht="110.25" customHeight="1">
      <c r="A310" s="1">
        <f>ROW()-1</f>
        <v/>
      </c>
      <c r="B310" s="1" t="n">
        <v>2025</v>
      </c>
      <c r="C310" s="1" t="n">
        <v>1</v>
      </c>
      <c r="D310" s="1" t="inlineStr">
        <is>
          <t>ストーリー</t>
        </is>
      </c>
      <c r="E310" s="1">
        <f>IF(D310="ストーリー", INT((COUNTIF($D$2:D310, "ストーリー")-1)/3) + 1, "NA")</f>
        <v/>
      </c>
      <c r="F310" s="1" t="inlineStr">
        <is>
          <t>地震の次に話があったのは何についてですか。</t>
        </is>
      </c>
      <c r="G310" s="2" t="inlineStr">
        <is>
          <t>1. 非常識について
2. 避難場所について 
3. 耐震基準について
4. ハザードマップについて</t>
        </is>
      </c>
      <c r="H310" s="1" t="n">
        <v>4</v>
      </c>
      <c r="I310" s="1" t="inlineStr">
        <is>
          <t>muMwlOt5JJY</t>
        </is>
      </c>
      <c r="J310" s="2" t="inlineStr">
        <is>
          <t>今年は防災士に依頼して講演会を行いました。令和6年1月1日能登半島地震が発生したことをきっかけに催されました。地震発生当時の状況や避難すべき地域かどうか、パニックにならないで、行動をしてほしいと話されました。次はハザードマップの説明でした。自分の住む地域にどんな危険があるか、雨による増水や土砂崩れの心配はないかなどよく知っておくことということです。最後に防災の備えについて勉強しました。1981年6月から施行された新耐震基準で建てられた家かどうかを確認する必要があることの話はとても勉強になりました。</t>
        </is>
      </c>
      <c r="K310" s="1" t="n"/>
    </row>
    <row r="311" ht="110.25" customHeight="1">
      <c r="A311" s="1">
        <f>ROW()-1</f>
        <v/>
      </c>
      <c r="B311" s="1" t="n">
        <v>2025</v>
      </c>
      <c r="C311" s="1" t="n">
        <v>1</v>
      </c>
      <c r="D311" s="1" t="inlineStr">
        <is>
          <t>ストーリー</t>
        </is>
      </c>
      <c r="E311" s="1">
        <f>IF(D311="ストーリー", INT((COUNTIF($D$2:D311, "ストーリー")-1)/3) + 1, "NA")</f>
        <v/>
      </c>
      <c r="F311" s="1" t="inlineStr">
        <is>
          <t>講演で確認の必要性が強調されたのは何ですか？</t>
        </is>
      </c>
      <c r="G311" s="2" t="inlineStr">
        <is>
          <t>1. 新耐震基準
2. 家の広さ 
3. 家族構成 
4. 火災保険加入の有無</t>
        </is>
      </c>
      <c r="H311" s="1" t="n">
        <v>1</v>
      </c>
      <c r="I311" s="1" t="inlineStr">
        <is>
          <t>muMwlOt5JJY</t>
        </is>
      </c>
      <c r="J311" s="2" t="inlineStr">
        <is>
          <t>今年は防災士に依頼して講演会を行いました。令和6年1月1日能登半島地震が発生したことをきっかけに催されました。地震発生当時の状況や避難すべき地域かどうか、パニックにならないで、行動をしてほしいと話されました。次はハザードマップの説明でした。自分の住む地域にどんな危険があるか、雨による増水や土砂崩れの心配はないかなどよく知っておくことということです。最後に防災の備えについて勉強しました。1981年6月から施行された新耐震基準で建てられた家かどうかを確認する必要があることの話はとても勉強になりました。</t>
        </is>
      </c>
      <c r="K311" s="1" t="n"/>
    </row>
    <row r="312">
      <c r="A312" s="1">
        <f>ROW()-1</f>
        <v/>
      </c>
      <c r="B312" s="1" t="n">
        <v>2025</v>
      </c>
      <c r="C312" s="1" t="n">
        <v>5</v>
      </c>
      <c r="D312" s="1" t="inlineStr">
        <is>
          <t>スピーチ</t>
        </is>
      </c>
      <c r="E312" s="1">
        <f>IF(D312="ストーリー", INT((COUNTIF($D$2:D312, "ストーリー")-1)/3) + 1, "NA")</f>
        <v/>
      </c>
      <c r="F312" s="1" t="inlineStr">
        <is>
          <t>◎自分の家族について話してください。</t>
        </is>
      </c>
      <c r="G312" s="1" t="n"/>
      <c r="H312" s="1" t="n"/>
      <c r="I312" s="1" t="n"/>
      <c r="J312" s="2" t="n"/>
      <c r="K312" s="1" t="n"/>
    </row>
    <row r="313">
      <c r="A313" s="1">
        <f>ROW()-1</f>
        <v/>
      </c>
      <c r="B313" s="1" t="n">
        <v>2025</v>
      </c>
      <c r="C313" s="1" t="n">
        <v>4</v>
      </c>
      <c r="D313" s="1" t="inlineStr">
        <is>
          <t>スピーチ</t>
        </is>
      </c>
      <c r="E313" s="1">
        <f>IF(D313="ストーリー", INT((COUNTIF($D$2:D313, "ストーリー")-1)/3) + 1, "NA")</f>
        <v/>
      </c>
      <c r="F313" s="1" t="inlineStr">
        <is>
          <t>◎1年間の思い出を話してください。</t>
        </is>
      </c>
      <c r="G313" s="1" t="n"/>
      <c r="H313" s="1" t="n"/>
      <c r="I313" s="1" t="n"/>
      <c r="J313" s="2" t="n"/>
      <c r="K313" s="1" t="n"/>
    </row>
    <row r="314">
      <c r="A314" s="1">
        <f>ROW()-1</f>
        <v/>
      </c>
      <c r="B314" s="1" t="n">
        <v>2025</v>
      </c>
      <c r="C314" s="1" t="n">
        <v>3</v>
      </c>
      <c r="D314" s="1" t="inlineStr">
        <is>
          <t>スピーチ</t>
        </is>
      </c>
      <c r="E314" s="1">
        <f>IF(D314="ストーリー", INT((COUNTIF($D$2:D314, "ストーリー")-1)/3) + 1, "NA")</f>
        <v/>
      </c>
      <c r="F314" s="1" t="inlineStr">
        <is>
          <t>◎あなたの暮らしているところ（地域）について自由に話してください。</t>
        </is>
      </c>
      <c r="G314" s="1" t="n"/>
      <c r="H314" s="1" t="n"/>
      <c r="I314" s="1" t="n"/>
      <c r="J314" s="2" t="n"/>
      <c r="K314" s="1" t="n"/>
    </row>
    <row r="315">
      <c r="A315" s="1">
        <f>ROW()-1</f>
        <v/>
      </c>
      <c r="B315" s="1" t="n">
        <v>2025</v>
      </c>
      <c r="C315" s="1" t="n">
        <v>2</v>
      </c>
      <c r="D315" s="1" t="inlineStr">
        <is>
          <t>スピーチ</t>
        </is>
      </c>
      <c r="E315" s="1">
        <f>IF(D315="ストーリー", INT((COUNTIF($D$2:D315, "ストーリー")-1)/3) + 1, "NA")</f>
        <v/>
      </c>
      <c r="F315" s="1" t="inlineStr">
        <is>
          <t>◎思い出に残る旅行、またはこれからしてみたい旅行について話してください。</t>
        </is>
      </c>
      <c r="G315" s="1" t="n"/>
      <c r="H315" s="1" t="n"/>
      <c r="I315" s="1" t="n"/>
      <c r="J315" s="2" t="n"/>
      <c r="K315" s="1" t="n"/>
    </row>
    <row r="316">
      <c r="A316" s="1">
        <f>ROW()-1</f>
        <v/>
      </c>
      <c r="B316" s="1" t="n">
        <v>2025</v>
      </c>
      <c r="C316" s="1" t="inlineStr">
        <is>
          <t>準1</t>
        </is>
      </c>
      <c r="D316" s="1" t="inlineStr">
        <is>
          <t>スピーチ</t>
        </is>
      </c>
      <c r="E316" s="1">
        <f>IF(D316="ストーリー", INT((COUNTIF($D$2:D316, "ストーリー")-1)/3) + 1, "NA")</f>
        <v/>
      </c>
      <c r="F316" s="1" t="inlineStr">
        <is>
          <t>◎きこえない人や手話について、周りの人に話すとしたらどんなことを話しますか。</t>
        </is>
      </c>
      <c r="G316" s="1" t="n"/>
      <c r="H316" s="1" t="n"/>
      <c r="I316" s="1" t="n"/>
      <c r="J316" s="2" t="n"/>
      <c r="K316" s="1" t="n"/>
    </row>
    <row r="317">
      <c r="A317" s="1">
        <f>ROW()-1</f>
        <v/>
      </c>
      <c r="B317" s="1" t="n">
        <v>2025</v>
      </c>
      <c r="C317" s="1" t="n">
        <v>1</v>
      </c>
      <c r="D317" s="1" t="inlineStr">
        <is>
          <t>スピーチ</t>
        </is>
      </c>
      <c r="E317" s="1">
        <f>IF(D317="ストーリー", INT((COUNTIF($D$2:D317, "ストーリー")-1)/3) + 1, "NA")</f>
        <v/>
      </c>
      <c r="F317" s="1" t="inlineStr">
        <is>
          <t>◎あなたが関心のある最近のニュースについて話してください。</t>
        </is>
      </c>
      <c r="G317" s="1" t="n"/>
      <c r="H317" s="1" t="n"/>
      <c r="I317" s="1" t="n"/>
      <c r="J317" s="2" t="n"/>
      <c r="K317" s="1" t="n"/>
    </row>
  </sheetData>
  <autoFilter ref="A1:K317">
    <filterColumn colId="1" hiddenButton="0" showButton="1">
      <filters>
        <filter val="2025"/>
      </filters>
    </filterColumn>
  </autoFilter>
  <hyperlinks>
    <hyperlink xmlns:r="http://schemas.openxmlformats.org/officeDocument/2006/relationships" ref="I184" display="https://youtu.be/yzKVaRFlHg0" r:id="rId1"/>
  </hyperlinks>
  <pageMargins left="0.7" right="0.7" top="0.75" bottom="0.75" header="0.3" footer="0.3"/>
  <pageSetup orientation="portrait" paperSize="9"/>
</worksheet>
</file>

<file path=xl/worksheets/sheet2.xml><?xml version="1.0" encoding="utf-8"?>
<worksheet xmlns="http://schemas.openxmlformats.org/spreadsheetml/2006/main">
  <sheetPr codeName="Sheet2">
    <outlinePr summaryBelow="1" summaryRight="1"/>
    <pageSetUpPr/>
  </sheetPr>
  <dimension ref="A1:I93"/>
  <sheetViews>
    <sheetView showGridLines="0" zoomScale="85" zoomScaleNormal="85" workbookViewId="0">
      <pane ySplit="1" topLeftCell="A2" activePane="bottomLeft" state="frozen"/>
      <selection pane="bottomLeft" activeCell="D2" sqref="D2"/>
    </sheetView>
  </sheetViews>
  <sheetFormatPr baseColWidth="8" defaultColWidth="9" defaultRowHeight="15.75"/>
  <cols>
    <col width="9" customWidth="1" style="5" min="1" max="4"/>
    <col width="82.375" customWidth="1" style="5" min="5" max="5"/>
    <col width="36.25" customWidth="1" style="5" min="6" max="6"/>
    <col width="9" customWidth="1" style="5" min="7" max="7"/>
    <col width="57.125" customWidth="1" style="12" min="8" max="8"/>
    <col width="9" customWidth="1" style="5" min="9" max="16384"/>
  </cols>
  <sheetData>
    <row r="1">
      <c r="A1" s="1" t="inlineStr">
        <is>
          <t>#</t>
        </is>
      </c>
      <c r="B1" s="1" t="inlineStr">
        <is>
          <t>Year</t>
        </is>
      </c>
      <c r="C1" s="1" t="inlineStr">
        <is>
          <t>Level</t>
        </is>
      </c>
      <c r="D1" s="1" t="inlineStr">
        <is>
          <t>Type</t>
        </is>
      </c>
      <c r="E1" s="1" t="inlineStr">
        <is>
          <t>Question</t>
        </is>
      </c>
      <c r="F1" s="1" t="inlineStr">
        <is>
          <t>Option</t>
        </is>
      </c>
      <c r="G1" s="1" t="inlineStr">
        <is>
          <t>Answer</t>
        </is>
      </c>
      <c r="H1" s="11" t="inlineStr">
        <is>
          <t>Detail</t>
        </is>
      </c>
      <c r="I1" s="1" t="inlineStr">
        <is>
          <t>PIC</t>
        </is>
      </c>
    </row>
    <row r="2" ht="63" customHeight="1">
      <c r="A2" s="1">
        <f>ROW()-1</f>
        <v/>
      </c>
      <c r="B2" s="1" t="n">
        <v>2023</v>
      </c>
      <c r="C2" s="1" t="n">
        <v>2</v>
      </c>
      <c r="D2" s="1" t="inlineStr">
        <is>
          <t>4択問題</t>
        </is>
      </c>
      <c r="E2" s="1" t="inlineStr">
        <is>
          <t>手話は聴覚障害者にとって重要な言語でありコミュニケーション手段ですが、手話の分からない難聴者にとって効果的な情報提供の手段はどれですか。</t>
        </is>
      </c>
      <c r="F2" s="2" t="inlineStr">
        <is>
          <t>1. 触手話
2. 要約筆記
3. 点字通訳
4. 指文字</t>
        </is>
      </c>
      <c r="G2" s="1" t="n">
        <v>2</v>
      </c>
      <c r="H2" s="11" t="inlineStr">
        <is>
          <t>2. 要約筆記。要約筆記は聴覚障害者の中でも中途失聴者や難聴者に対する支援方法。手書きやパソコンテイクといった方法がある。</t>
        </is>
      </c>
      <c r="I2" s="1" t="inlineStr">
        <is>
          <t>KatsuoShuwaDoga</t>
        </is>
      </c>
    </row>
    <row r="3" ht="110.25" customHeight="1">
      <c r="A3" s="1">
        <f>ROW()-1</f>
        <v/>
      </c>
      <c r="B3" s="1" t="n">
        <v>2023</v>
      </c>
      <c r="C3" s="1" t="n">
        <v>2</v>
      </c>
      <c r="D3" s="1" t="inlineStr">
        <is>
          <t>4択問題</t>
        </is>
      </c>
      <c r="E3" s="1" t="inlineStr">
        <is>
          <t>聴覚障害者とのコミュニケーションについて記述で適切なものはどれですか。</t>
        </is>
      </c>
      <c r="F3" s="2" t="inlineStr">
        <is>
          <t>1. 話し手の表情や口元が見える位置や顔の向きを考えて話すのがいい
2. 筆談は簡単な文章がいいので、漢字は使わずひらがなで書くのがいい
3. 空所は分かりやすいので、多用するほうがいい
4. 手話を使うときは口型は全くつけない方がいい</t>
        </is>
      </c>
      <c r="G3" s="1" t="n">
        <v>1</v>
      </c>
      <c r="H3" s="11" t="inlineStr">
        <is>
          <t>1. 話し手の表情や口元が見える位置や顔の向きを考えて話すのがいい。手話は口元も含めて顔の表情が見やすい工夫をすることが重要である</t>
        </is>
      </c>
      <c r="I3" s="1" t="inlineStr">
        <is>
          <t>KatsuoShuwaDoga</t>
        </is>
      </c>
    </row>
    <row r="4" ht="63" customHeight="1">
      <c r="A4" s="1">
        <f>ROW()-1</f>
        <v/>
      </c>
      <c r="B4" s="1" t="n">
        <v>2023</v>
      </c>
      <c r="C4" s="1" t="n">
        <v>2</v>
      </c>
      <c r="D4" s="1" t="inlineStr">
        <is>
          <t>4択問題</t>
        </is>
      </c>
      <c r="E4" s="1" t="inlineStr">
        <is>
          <t>日本語の五十音に合わせた指文字のうち、アメリカの指文字を参考に作られたものはどれですか。</t>
        </is>
      </c>
      <c r="F4" s="2" t="inlineStr">
        <is>
          <t>1. コ
2. ク
3. セ
4. ラ</t>
        </is>
      </c>
      <c r="G4" s="1" t="n">
        <v>4</v>
      </c>
      <c r="H4" s="11" t="inlineStr">
        <is>
          <t>4. ラ。ラはアルファベットのRからきている</t>
        </is>
      </c>
      <c r="I4" s="1" t="inlineStr">
        <is>
          <t>KatsuoShuwaDoga</t>
        </is>
      </c>
    </row>
    <row r="5" ht="63" customHeight="1">
      <c r="A5" s="1">
        <f>ROW()-1</f>
        <v/>
      </c>
      <c r="B5" s="1" t="n">
        <v>2023</v>
      </c>
      <c r="C5" s="1" t="n">
        <v>2</v>
      </c>
      <c r="D5" s="1" t="inlineStr">
        <is>
          <t>4択問題</t>
        </is>
      </c>
      <c r="E5" s="1" t="inlineStr">
        <is>
          <t>手話に関する記述について正しくないものはどれですか。</t>
        </is>
      </c>
      <c r="F5" s="2" t="inlineStr">
        <is>
          <t>1. 手話には文法がある
2. 手話はどの国も同じである
3. 手話は伝承することができる
4. 手話には方言がある</t>
        </is>
      </c>
      <c r="G5" s="1" t="n">
        <v>2</v>
      </c>
      <c r="H5" s="11" t="inlineStr">
        <is>
          <t>2. 手話はどの国も同じである。手話は各国で異なる。</t>
        </is>
      </c>
      <c r="I5" s="1" t="inlineStr">
        <is>
          <t>KatsuoShuwaDoga</t>
        </is>
      </c>
    </row>
    <row r="6" ht="63" customHeight="1">
      <c r="A6" s="1">
        <f>ROW()-1</f>
        <v/>
      </c>
      <c r="B6" s="1" t="n">
        <v>2023</v>
      </c>
      <c r="C6" s="1" t="n">
        <v>2</v>
      </c>
      <c r="D6" s="1" t="inlineStr">
        <is>
          <t>4択問題</t>
        </is>
      </c>
      <c r="E6" s="1" t="inlineStr">
        <is>
          <t>聴覚障害者に多い感音性難聴の特徴として正しくないものはどれですか。</t>
        </is>
      </c>
      <c r="F6" s="2" t="inlineStr">
        <is>
          <t>1. 補聴器を使用すると音の聞き分けが良くなる
2. 大きい音がうるさく聞こえる
3. 小さい音が聞こえない
4. 話し言葉の弁別がしにくい</t>
        </is>
      </c>
      <c r="G6" s="1" t="n">
        <v>1</v>
      </c>
      <c r="H6" s="11" t="inlineStr">
        <is>
          <t>1. 補聴器を使用すると音の聞き分けが良くなる。1は伝音声難聴の特徴である。</t>
        </is>
      </c>
      <c r="I6" s="1" t="inlineStr">
        <is>
          <t>KatsuoShuwaDoga</t>
        </is>
      </c>
    </row>
    <row r="7" ht="63" customHeight="1">
      <c r="A7" s="1">
        <f>ROW()-1</f>
        <v/>
      </c>
      <c r="B7" s="1" t="n">
        <v>2023</v>
      </c>
      <c r="C7" s="1" t="n">
        <v>2</v>
      </c>
      <c r="D7" s="1" t="inlineStr">
        <is>
          <t>4択問題</t>
        </is>
      </c>
      <c r="E7" s="1" t="inlineStr">
        <is>
          <t>全日本ろうあ連盟は日本障害フォーラムという団体とともに、ある条約の批准に取り組みました。その条約とはなんですか。</t>
        </is>
      </c>
      <c r="F7" s="2" t="inlineStr">
        <is>
          <t>1. 障害者差別撤廃条約
2. 子どもの権利条約
3. 障害者権利条約
4. 女性差別撤廃条約</t>
        </is>
      </c>
      <c r="G7" s="1" t="n">
        <v>3</v>
      </c>
      <c r="H7" s="11" t="inlineStr">
        <is>
          <t>3. 障害者権利条約。日本障害フォーラムは全日本ろうあ連盟などの13団体で構成されている。障害者施策の推進やイエローリボン運動などの啓発活動も行う。</t>
        </is>
      </c>
      <c r="I7" s="1" t="inlineStr">
        <is>
          <t>KatsuoShuwaDoga</t>
        </is>
      </c>
    </row>
    <row r="8" ht="126" customHeight="1">
      <c r="A8" s="1">
        <f>ROW()-1</f>
        <v/>
      </c>
      <c r="B8" s="1" t="n">
        <v>2023</v>
      </c>
      <c r="C8" s="1" t="n">
        <v>2</v>
      </c>
      <c r="D8" s="1" t="inlineStr">
        <is>
          <t>4択問題</t>
        </is>
      </c>
      <c r="E8" s="1" t="inlineStr">
        <is>
          <t>ピア・カウンセリングとはなんですか。</t>
        </is>
      </c>
      <c r="F8" s="2" t="inlineStr">
        <is>
          <t>1. いつも同じ人が継続的なミーティングの中で語り合いをするカウンセリング
2. 夫婦の間の問題解決のために2人で受けるカウンセリング
3. 同じ立場や障害を持っている人同士で行うカウンセリング
4. 日頃悩んでいる家庭のこと・仕事のこと・病気のことなどについてメールで受けるカウンセリング</t>
        </is>
      </c>
      <c r="G8" s="1" t="n">
        <v>3</v>
      </c>
      <c r="H8" s="11" t="inlineStr">
        <is>
          <t>3. 同じ立場や障害を持っている人同士で行うカウンセリング。さまざまな場面で自分自身で選択し決定する自立生活を目指す仲間を（ピア）を作り、お互いに平等な立場で話を聞きあってサポートすること</t>
        </is>
      </c>
      <c r="I8" s="1" t="inlineStr">
        <is>
          <t>KatsuoShuwaDoga</t>
        </is>
      </c>
    </row>
    <row r="9" ht="63" customHeight="1">
      <c r="A9" s="1">
        <f>ROW()-1</f>
        <v/>
      </c>
      <c r="B9" s="1" t="n">
        <v>2023</v>
      </c>
      <c r="C9" s="1" t="n">
        <v>2</v>
      </c>
      <c r="D9" s="1" t="inlineStr">
        <is>
          <t>4択問題</t>
        </is>
      </c>
      <c r="E9" s="1" t="inlineStr">
        <is>
          <t>手話協力員は聴覚障害者の雇用を推進するために公共職業安定所に配置されていますが、管轄する省庁はどこですか？</t>
        </is>
      </c>
      <c r="F9" s="2" t="inlineStr">
        <is>
          <t>1. 総務省
2. 文部科学省
3. 厚生労働省
4. 国土交通省</t>
        </is>
      </c>
      <c r="G9" s="1" t="n">
        <v>3</v>
      </c>
      <c r="H9" s="11" t="inlineStr">
        <is>
          <t>3. 厚生労働省。1973年に労働省（厚生労働省）が聴覚障害者の求職相談などのために手話協力員を設置した。</t>
        </is>
      </c>
      <c r="I9" s="1" t="inlineStr">
        <is>
          <t>KatsuoShuwaDoga</t>
        </is>
      </c>
    </row>
    <row r="10" ht="78.75" customHeight="1">
      <c r="A10" s="1">
        <f>ROW()-1</f>
        <v/>
      </c>
      <c r="B10" s="1" t="n">
        <v>2023</v>
      </c>
      <c r="C10" s="1" t="n">
        <v>2</v>
      </c>
      <c r="D10" s="1" t="inlineStr">
        <is>
          <t>4択問題</t>
        </is>
      </c>
      <c r="E10" s="1" t="inlineStr">
        <is>
          <t>障害者福祉の動向を見ると国際的にも国内においても1981年の国際障害者年が大きなきっかけとなって進展しています。この国際障害者年のテーマはなんですか。</t>
        </is>
      </c>
      <c r="F10" s="2" t="inlineStr">
        <is>
          <t>1. 出会い、触れあい、心の輪
2. 壁を取り払い、扉を開こう: すべての人々が参加できる社会のために
3. わたしたち抜きで私たちのことを決めるな
4. 完全参加と平等</t>
        </is>
      </c>
      <c r="G10" s="1" t="n">
        <v>4</v>
      </c>
      <c r="H10" s="11" t="inlineStr">
        <is>
          <t>4. 完全参加と平等。障害者が社会生活および社会への発展へ完全に参加できること、ほかの人々との平等な生活が営めること、経済的および社会的発展によって改善される生活状況を享受できることを目的とした。</t>
        </is>
      </c>
      <c r="I10" s="1" t="inlineStr">
        <is>
          <t>KatsuoShuwaDoga</t>
        </is>
      </c>
    </row>
    <row r="11" ht="63" customHeight="1">
      <c r="A11" s="1">
        <f>ROW()-1</f>
        <v/>
      </c>
      <c r="B11" s="1" t="n">
        <v>2023</v>
      </c>
      <c r="C11" s="1" t="n">
        <v>2</v>
      </c>
      <c r="D11" s="1" t="inlineStr">
        <is>
          <t>4択問題</t>
        </is>
      </c>
      <c r="E11" s="1" t="inlineStr">
        <is>
          <t>手話通訳者の専門性が十分に理解されないために労働条件が整わず、過度の労働党で通訳者の健康問題も起きています。この手話通訳者の代表的な健康障害はなんですか。</t>
        </is>
      </c>
      <c r="F11" s="2" t="inlineStr">
        <is>
          <t>1. 高次脳機能障害
2. 頸肩腕障害
3. 言語障害
4. 肝機能障害</t>
        </is>
      </c>
      <c r="G11" s="1" t="n">
        <v>2</v>
      </c>
      <c r="H11" s="11" t="inlineStr">
        <is>
          <t>2. 頸肩腕障害。上腕から前腕にかけて疲労感や脱力感・痛みなどが起き、重なることで慢性的なだるさや食用低下などが現れる状態</t>
        </is>
      </c>
      <c r="I11" s="1" t="inlineStr">
        <is>
          <t>KatsuoShuwaDoga</t>
        </is>
      </c>
    </row>
    <row r="12" ht="63" customHeight="1">
      <c r="A12" s="1">
        <f>ROW()-1</f>
        <v/>
      </c>
      <c r="B12" s="1" t="n">
        <v>2023</v>
      </c>
      <c r="C12" s="1" t="n">
        <v>2</v>
      </c>
      <c r="D12" s="1" t="inlineStr">
        <is>
          <t>4択問題</t>
        </is>
      </c>
      <c r="E12" s="1" t="inlineStr">
        <is>
          <t>4年に1度、夏季大会と冬季大会がそれぞれ開催される聴覚障害者のための国際総合競技大会はなんですか。</t>
        </is>
      </c>
      <c r="F12" s="2" t="inlineStr">
        <is>
          <t>1. デフリンピック
2. パラリンピック
3. オリンピック
4. アビリンピック</t>
        </is>
      </c>
      <c r="G12" s="1" t="n">
        <v>1</v>
      </c>
      <c r="H12" s="11" t="inlineStr">
        <is>
          <t>1. デフリンピック。聞こえないことをデフという。ろう者のオリンピックという意味合いでデフリンピックという。</t>
        </is>
      </c>
      <c r="I12" s="1" t="inlineStr">
        <is>
          <t>KatsuoShuwaDoga</t>
        </is>
      </c>
    </row>
    <row r="13" ht="63" customHeight="1">
      <c r="A13" s="1">
        <f>ROW()-1</f>
        <v/>
      </c>
      <c r="B13" s="1" t="n">
        <v>2023</v>
      </c>
      <c r="C13" s="1" t="n">
        <v>2</v>
      </c>
      <c r="D13" s="1" t="inlineStr">
        <is>
          <t>4択問題</t>
        </is>
      </c>
      <c r="E13" s="1" t="inlineStr">
        <is>
          <t>2013年に日本初の手話言語条例を制定し、毎年「全国高校生手話パフォーマンス甲子園」を開催している都道府県はどこですか？</t>
        </is>
      </c>
      <c r="F13" s="2" t="inlineStr">
        <is>
          <t>1. 北海道
2. 神奈川県
3. 鳥取県
4. 福岡県</t>
        </is>
      </c>
      <c r="G13" s="1" t="n">
        <v>3</v>
      </c>
      <c r="H13" s="11" t="inlineStr">
        <is>
          <t>3. 鳥取県。2013年に鳥取県で制定され、全国の自治体へと波及して2024年時点では38都道府県21区357市110町6村、計532自治体で制定された。</t>
        </is>
      </c>
      <c r="I13" s="1" t="inlineStr">
        <is>
          <t>KatsuoShuwaDoga</t>
        </is>
      </c>
    </row>
    <row r="14" ht="63" customHeight="1">
      <c r="A14" s="1">
        <f>ROW()-1</f>
        <v/>
      </c>
      <c r="B14" s="1" t="n">
        <v>2023</v>
      </c>
      <c r="C14" s="1" t="n">
        <v>2</v>
      </c>
      <c r="D14" s="1" t="inlineStr">
        <is>
          <t>4択問題</t>
        </is>
      </c>
      <c r="E14" s="1" t="inlineStr">
        <is>
          <t>字幕付き映像ライブラリ政策・貸出などの情報提供サービスや手話通訳派遣などのコミュニケーション支援機能を持たせた、身体障害者福祉法に定められた施設の名称はなんですか。</t>
        </is>
      </c>
      <c r="F14" s="2" t="inlineStr">
        <is>
          <t>1. 聴覚言語障害センター
2. 聴覚障害者情報センター
3. 聴覚障害者情報提供施設
4. 聴覚障害者手話通訳派遣センター</t>
        </is>
      </c>
      <c r="G14" s="1" t="n">
        <v>3</v>
      </c>
      <c r="H14" s="11" t="inlineStr">
        <is>
          <t>3. 聴覚障害者情報提供施設。1990年に身体障害者福祉法が改正されて、聴覚障害者情報提供施設を設置することができると定められた。</t>
        </is>
      </c>
      <c r="I14" s="1" t="inlineStr">
        <is>
          <t>KatsuoShuwaDoga</t>
        </is>
      </c>
    </row>
    <row r="15" ht="63" customHeight="1">
      <c r="A15" s="1">
        <f>ROW()-1</f>
        <v/>
      </c>
      <c r="B15" s="1" t="n">
        <v>2023</v>
      </c>
      <c r="C15" s="1" t="n">
        <v>2</v>
      </c>
      <c r="D15" s="1" t="inlineStr">
        <is>
          <t>4択問題</t>
        </is>
      </c>
      <c r="E15" s="1" t="inlineStr">
        <is>
          <t>障害者基本法に基づき、国民に障害者の福祉についての関心と理解を深めることを目的として毎年12月3日から9日まで実施されているのはなんですか。</t>
        </is>
      </c>
      <c r="F15" s="2" t="inlineStr">
        <is>
          <t>1. 人権週間
2. 教育週間
3. 福祉週間
4. 障害者週間</t>
        </is>
      </c>
      <c r="G15" s="1" t="n">
        <v>4</v>
      </c>
      <c r="H15" s="11" t="inlineStr">
        <is>
          <t>4. 障害者週間。2004年6月に障害者基本法が改正されて12月9日を障害者の日と定めていたものを12月3日～9日を障害者週間と定めた。</t>
        </is>
      </c>
      <c r="I15" s="1" t="inlineStr">
        <is>
          <t>KatsuoShuwaDoga</t>
        </is>
      </c>
    </row>
    <row r="16" ht="63" customHeight="1">
      <c r="A16" s="1">
        <f>ROW()-1</f>
        <v/>
      </c>
      <c r="B16" s="1" t="n">
        <v>2023</v>
      </c>
      <c r="C16" s="1" t="n">
        <v>2</v>
      </c>
      <c r="D16" s="1" t="inlineStr">
        <is>
          <t>4択問題</t>
        </is>
      </c>
      <c r="E16" s="1" t="inlineStr">
        <is>
          <t>障害者の雇用の促進等に関する法律において一定の従業員数がいる事業所は法律で定められた割合以上の障害者を雇用する必要があります。その割合を何と言いますか。</t>
        </is>
      </c>
      <c r="F16" s="2" t="inlineStr">
        <is>
          <t>1. 義務雇用率
2. 法定雇用率
3. 目標雇用率
4. 最低雇用率</t>
        </is>
      </c>
      <c r="G16" s="1" t="n">
        <v>2</v>
      </c>
      <c r="H16" s="11" t="inlineStr">
        <is>
          <t>2. 法定雇用率。障害者雇用促進法は障害者の職業安定を図ることを目的とする法律。職業リハビリテーションの促進や障害に対する差別の禁止などが規定される。</t>
        </is>
      </c>
      <c r="I16" s="1" t="inlineStr">
        <is>
          <t>KatsuoShuwaDoga</t>
        </is>
      </c>
    </row>
    <row r="17" ht="94.5" customHeight="1">
      <c r="A17" s="1">
        <f>ROW()-1</f>
        <v/>
      </c>
      <c r="B17" s="1" t="n">
        <v>2023</v>
      </c>
      <c r="C17" s="1" t="n">
        <v>2</v>
      </c>
      <c r="D17" s="1" t="inlineStr">
        <is>
          <t>4択問題</t>
        </is>
      </c>
      <c r="E17" s="1" t="inlineStr">
        <is>
          <t>指文字について正しいものはどれですか。</t>
        </is>
      </c>
      <c r="F17" s="2" t="inlineStr">
        <is>
          <t>1. 手話の語彙の一部になることがある
2. 主にカタカナで書かれる言葉について表現するためのものである
3. 指文字は年々改良されている
4. 五十音に対応しているが、「が」などの濁音は表現できない</t>
        </is>
      </c>
      <c r="G17" s="1" t="n">
        <v>1</v>
      </c>
      <c r="H17" s="11" t="inlineStr">
        <is>
          <t>1. 手話の語彙の一部になることがある。指文字を表現の一部にする手話単語もたくさんあります。施設の手話は指文字のシを用います。</t>
        </is>
      </c>
      <c r="I17" s="1" t="inlineStr">
        <is>
          <t>KatsuoShuwaDoga</t>
        </is>
      </c>
    </row>
    <row r="18" ht="63" customHeight="1">
      <c r="A18" s="1">
        <f>ROW()-1</f>
        <v/>
      </c>
      <c r="B18" s="1" t="n">
        <v>2023</v>
      </c>
      <c r="C18" s="1" t="n">
        <v>2</v>
      </c>
      <c r="D18" s="1" t="inlineStr">
        <is>
          <t>4択問題</t>
        </is>
      </c>
      <c r="E18" s="1" t="inlineStr">
        <is>
          <t>手話で表現した場合、手の形と位置は同じだが、手の動きだけが異なっている語の組み合わせはどれですか。</t>
        </is>
      </c>
      <c r="F18" s="2" t="inlineStr">
        <is>
          <t>1. 経済と商売
2. 遊びと会社
3. 姉と弟
4. 考えると私</t>
        </is>
      </c>
      <c r="G18" s="1" t="n">
        <v>1</v>
      </c>
      <c r="H18" s="11" t="inlineStr">
        <is>
          <t>1. 経済と商売。全日本ろうあ連盟発行「わたしたちの手話 学習辞典1」などを参照。</t>
        </is>
      </c>
      <c r="I18" s="1" t="inlineStr">
        <is>
          <t>KatsuoShuwaDoga</t>
        </is>
      </c>
    </row>
    <row r="19" ht="63" customHeight="1">
      <c r="A19" s="1">
        <f>ROW()-1</f>
        <v/>
      </c>
      <c r="B19" s="1" t="n">
        <v>2023</v>
      </c>
      <c r="C19" s="1" t="n">
        <v>2</v>
      </c>
      <c r="D19" s="1" t="inlineStr">
        <is>
          <t>4択問題</t>
        </is>
      </c>
      <c r="E19" s="1" t="inlineStr">
        <is>
          <t>都道府県の手話で名所から作られたものはどれですか。</t>
        </is>
      </c>
      <c r="F19" s="2" t="inlineStr">
        <is>
          <t>1. 香川
2. 広島
3. 長野
4. 秋田</t>
        </is>
      </c>
      <c r="G19" s="1" t="n">
        <v>2</v>
      </c>
      <c r="H19" s="11" t="inlineStr">
        <is>
          <t>2. 広島。広島の手話は宮島にある厳島神社の鳥居の形から作られています。</t>
        </is>
      </c>
      <c r="I19" s="1" t="inlineStr">
        <is>
          <t>KatsuoShuwaDoga</t>
        </is>
      </c>
    </row>
    <row r="20" ht="63" customHeight="1">
      <c r="A20" s="1">
        <f>ROW()-1</f>
        <v/>
      </c>
      <c r="B20" s="1" t="n">
        <v>2023</v>
      </c>
      <c r="C20" s="1" t="n">
        <v>2</v>
      </c>
      <c r="D20" s="1" t="inlineStr">
        <is>
          <t>4択問題</t>
        </is>
      </c>
      <c r="E20" s="1" t="inlineStr">
        <is>
          <t>次の言葉を手話で表現した時、両手の形が異なるものはどれですか。</t>
        </is>
      </c>
      <c r="F20" s="2" t="inlineStr">
        <is>
          <t>1. 生きる
2. 訓練
3. 基準
4. 材料</t>
        </is>
      </c>
      <c r="G20" s="1" t="n">
        <v>3</v>
      </c>
      <c r="H20" s="11" t="inlineStr">
        <is>
          <t>3. 基準。【基準】以外はすべて両手こぶしを使った手話表現です。</t>
        </is>
      </c>
      <c r="I20" s="1" t="inlineStr">
        <is>
          <t>KatsuoShuwaDoga</t>
        </is>
      </c>
    </row>
    <row r="21" ht="63" customHeight="1">
      <c r="A21" s="1">
        <f>ROW()-1</f>
        <v/>
      </c>
      <c r="B21" s="1" t="n">
        <v>2023</v>
      </c>
      <c r="C21" s="1" t="n">
        <v>2</v>
      </c>
      <c r="D21" s="1" t="inlineStr">
        <is>
          <t>4択問題</t>
        </is>
      </c>
      <c r="E21" s="1" t="inlineStr">
        <is>
          <t>手話表現した時漢字の字形を表現していないものはどれですか。</t>
        </is>
      </c>
      <c r="F21" s="2" t="inlineStr">
        <is>
          <t>1. 災害
2. 非
3. 入る
4. 虹</t>
        </is>
      </c>
      <c r="G21" s="1" t="n">
        <v>4</v>
      </c>
      <c r="H21" s="11" t="inlineStr">
        <is>
          <t>4. 虹。【虹】の手話は事象そのものから成り立っています。ちなみに虹を七色と認識しているのは日本の特徴のようです。</t>
        </is>
      </c>
      <c r="I21" s="1" t="inlineStr">
        <is>
          <t>KatsuoShuwaDoga</t>
        </is>
      </c>
    </row>
    <row r="22" ht="63" customHeight="1">
      <c r="A22" s="1">
        <f>ROW()-1</f>
        <v/>
      </c>
      <c r="B22" s="1" t="n">
        <v>2023</v>
      </c>
      <c r="C22" s="1" t="n">
        <v>2</v>
      </c>
      <c r="D22" s="1" t="inlineStr">
        <is>
          <t>4択問題</t>
        </is>
      </c>
      <c r="E22" s="1" t="inlineStr">
        <is>
          <t>耳で聞く音は空気の振動によって伝わります。次の中で音の3要素ではないものはどれですか。</t>
        </is>
      </c>
      <c r="F22" s="2" t="inlineStr">
        <is>
          <t>1. 音の大きさ
2. 音の長さ
3. 音の高さ
4. 音色</t>
        </is>
      </c>
      <c r="G22" s="1" t="n">
        <v>2</v>
      </c>
      <c r="H22" s="11" t="inlineStr">
        <is>
          <t>2. 音の長さ。音の三要素は「音の高さ」「音の大きさ」「音色」の３つからなります。</t>
        </is>
      </c>
      <c r="I22" s="1" t="inlineStr">
        <is>
          <t>KatsuoShuwaDoga</t>
        </is>
      </c>
    </row>
    <row r="23" ht="63" customHeight="1">
      <c r="A23" s="1">
        <f>ROW()-1</f>
        <v/>
      </c>
      <c r="B23" s="1" t="n">
        <v>2023</v>
      </c>
      <c r="C23" s="1" t="n">
        <v>2</v>
      </c>
      <c r="D23" s="1" t="inlineStr">
        <is>
          <t>4択問題</t>
        </is>
      </c>
      <c r="E23" s="1" t="inlineStr">
        <is>
          <t>手話が言語であることについて「言語（手話を含む。）」と条文の一節に規定した法律はなんですか。</t>
        </is>
      </c>
      <c r="F23" s="2" t="inlineStr">
        <is>
          <t>1. 障害者基本法
2. 障害者差別解消法
3. 障害者総合支援法
4. 障害者自立支援法</t>
        </is>
      </c>
      <c r="G23" s="1" t="n">
        <v>1</v>
      </c>
      <c r="H23" s="11" t="inlineStr">
        <is>
          <t>1. 障害者基本法。2011年の障害者基本法改正で第3条第11項第3号に規定されたことによって言語性が認められたといわれています。</t>
        </is>
      </c>
      <c r="I23" s="1" t="inlineStr">
        <is>
          <t>KatsuoShuwaDoga</t>
        </is>
      </c>
    </row>
    <row r="24" ht="63" customHeight="1">
      <c r="A24" s="1">
        <f>ROW()-1</f>
        <v/>
      </c>
      <c r="B24" s="1" t="n">
        <v>2023</v>
      </c>
      <c r="C24" s="1" t="n">
        <v>2</v>
      </c>
      <c r="D24" s="1" t="inlineStr">
        <is>
          <t>4択問題</t>
        </is>
      </c>
      <c r="E24" s="1" t="inlineStr">
        <is>
          <t>聴覚障害者のために認定NPO法人障害者放送通信機構が提供している手話と字幕付きで視聴できる番組はなんですか。</t>
        </is>
      </c>
      <c r="F24" s="2" t="inlineStr">
        <is>
          <t>1. 目で見るテレビ
2. 目で聴くテレビ
3. 耳で見るテレビ
4. 耳で聴くテレビ</t>
        </is>
      </c>
      <c r="G24" s="1" t="n">
        <v>2</v>
      </c>
      <c r="H24" s="11" t="inlineStr">
        <is>
          <t>2. 目で聴くテレビ。1995年の阪神淡路大震災の反省を踏まえて1998年から手話と字幕を付けた目で聴くテレビがスタートしました。</t>
        </is>
      </c>
      <c r="I24" s="1" t="inlineStr">
        <is>
          <t>KatsuoShuwaDoga</t>
        </is>
      </c>
    </row>
    <row r="25" ht="63" customHeight="1">
      <c r="A25" s="1">
        <f>ROW()-1</f>
        <v/>
      </c>
      <c r="B25" s="1" t="n">
        <v>2023</v>
      </c>
      <c r="C25" s="1" t="n">
        <v>2</v>
      </c>
      <c r="D25" s="1" t="inlineStr">
        <is>
          <t>4択問題</t>
        </is>
      </c>
      <c r="E25" s="1" t="inlineStr">
        <is>
          <t>障害の社会的障壁について障害があるものにとって日常生活または社会生活を営む上で障壁となるような社会における事物、制度、慣行、観念、その他の一切のものをいうと定義づけている。これはどんな視点を取り入れたものですか。</t>
        </is>
      </c>
      <c r="F25" s="2" t="inlineStr">
        <is>
          <t>1. バリアフリー
2. 社会モデル
3. インクルージョン
4. リハビリテーション</t>
        </is>
      </c>
      <c r="G25" s="1" t="n">
        <v>2</v>
      </c>
      <c r="H25" s="11" t="inlineStr">
        <is>
          <t>2. 社会モデル。社会的障壁の定義は「社会モデル」の視点に基づいています。社会モデルとは、障害は個人の心身機能ではなく、社会の側にある障壁（バリア）によって生じるという考え方です。バリアフリーは障壁を除去する取り組みのことであり、視点・考え方そのものではありません。</t>
        </is>
      </c>
      <c r="I25" s="1" t="inlineStr">
        <is>
          <t>KatsuoShuwaDoga</t>
        </is>
      </c>
    </row>
    <row r="26" ht="63" customHeight="1">
      <c r="A26" s="1">
        <f>ROW()-1</f>
        <v/>
      </c>
      <c r="B26" s="1" t="n">
        <v>2023</v>
      </c>
      <c r="C26" s="1" t="inlineStr">
        <is>
          <t>準1</t>
        </is>
      </c>
      <c r="D26" s="1" t="inlineStr">
        <is>
          <t>穴埋め形式</t>
        </is>
      </c>
      <c r="E26" s="1" t="inlineStr">
        <is>
          <t>（ア）難聴の場合は、音を（イ）に伝える部分の障害のため音が小さくなってしまいますが（イ）に異常がない場合は（ウ）で十分に大きな音に増幅すれば聞き取りは改善されます。（ウ）の装用効果がかなり（エ）と言えます。</t>
        </is>
      </c>
      <c r="F26" s="2" t="inlineStr">
        <is>
          <t>1. 中耳
2. 内耳
3. 外耳
4. 補聴器
5. 集音器
6. 低い
7. 高い
8. 伝音声
9. 感音性
10. 突発性</t>
        </is>
      </c>
      <c r="G26" s="1" t="inlineStr">
        <is>
          <t>8,2,4,7</t>
        </is>
      </c>
      <c r="H26" s="11" t="inlineStr">
        <is>
          <t>(ア): 8. 伝音声 (イ): 2. 内耳 (ウ): 4. 補聴器 (エ): 7. 高い。伝音性難聴は空気の振動としての音を内耳に伝える外耳道、鼓膜、耳小骨の部分に障害があるため、振動が伝わりに肉なって音が小さく聞こえる障害です。</t>
        </is>
      </c>
      <c r="I26" s="1" t="inlineStr">
        <is>
          <t>KatsuoShuwaDoga</t>
        </is>
      </c>
    </row>
    <row r="27" ht="157.5" customHeight="1">
      <c r="A27" s="1">
        <f>ROW()-1</f>
        <v/>
      </c>
      <c r="B27" s="1" t="n">
        <v>2023</v>
      </c>
      <c r="C27" s="1" t="inlineStr">
        <is>
          <t>準1</t>
        </is>
      </c>
      <c r="D27" s="1" t="inlineStr">
        <is>
          <t>穴埋め形式</t>
        </is>
      </c>
      <c r="E27" s="1" t="inlineStr">
        <is>
          <t>日本では1878年、京都に（ア）が設立されました。手話はろう児の集団形成とともに（イ）を通じて形成され、ろう者の集団の中で発展したものと考えられます。この時代は聞こえないという障害ゆえに（ウ）や社会的偏見がありました。</t>
        </is>
      </c>
      <c r="F27" s="2" t="inlineStr">
        <is>
          <t>1. 盲唖院
2. ろうあ協会
3. 歴史
4. 手話サークル
5. 平等
6. 教育
7. 差別
8. 自然</t>
        </is>
      </c>
      <c r="G27" s="1" t="inlineStr">
        <is>
          <t>1,6,7</t>
        </is>
      </c>
      <c r="H27" s="11" t="inlineStr">
        <is>
          <t>(ア): 1. 盲唖院 (イ): 6. 教育 (ウ): 7. 差別。日本最初の聾学校として1878年に京都盲唖院、1880年には東京に訓盲院が設立され、教育の場で手話が取り入れられました。</t>
        </is>
      </c>
      <c r="I27" s="1" t="inlineStr">
        <is>
          <t>KatsuoShuwaDoga</t>
        </is>
      </c>
    </row>
    <row r="28" ht="126" customHeight="1">
      <c r="A28" s="1">
        <f>ROW()-1</f>
        <v/>
      </c>
      <c r="B28" s="1" t="n">
        <v>2023</v>
      </c>
      <c r="C28" s="1" t="inlineStr">
        <is>
          <t>準1</t>
        </is>
      </c>
      <c r="D28" s="1" t="inlineStr">
        <is>
          <t>穴埋め形式</t>
        </is>
      </c>
      <c r="E28" s="1" t="inlineStr">
        <is>
          <t>2022年5月に障害者情報アクセシビリティ・コミュニケーション施策推進法が施行されました。この法律はすべての障害者があらゆる分野の（ア）に参加するためには情報の十分な取得利用や（イ）意思疎通が極めて重要であることから障害者による情報の十分な取得利用や（イ）意思疎通が極めて重要であることから障害者による情報の取得利用・意思疎通にかかる施策を総合的に推進し、（ウ）の実現に資するために制定されました。</t>
        </is>
      </c>
      <c r="F28" s="2" t="inlineStr">
        <is>
          <t>1. 仕事
2. 集会
3. 活動
4. 円滑な
5. 一定の
6. お互いの
7. 共存社会
8. 共生社会</t>
        </is>
      </c>
      <c r="G28" s="1" t="inlineStr">
        <is>
          <t>3,4,8</t>
        </is>
      </c>
      <c r="H28" s="11" t="inlineStr">
        <is>
          <t>(ア): 3. 活動 (イ): 4. 円滑な (ウ): 8. 共生社会。この法律の目的は「すべての障害者があらゆる分野の活動に参加するためにはその必要とする情報の十分な取得利用・円滑な意思疎通が極めて重要であり、障害者による情報の取得利用・意思疎通にかかる施策を総合的に推進し、共生社会の実現に資する」こととされています。</t>
        </is>
      </c>
      <c r="I28" s="1" t="inlineStr">
        <is>
          <t>KatsuoShuwaDoga</t>
        </is>
      </c>
    </row>
    <row r="29" ht="126" customHeight="1">
      <c r="A29" s="1">
        <f>ROW()-1</f>
        <v/>
      </c>
      <c r="B29" s="1" t="n">
        <v>2023</v>
      </c>
      <c r="C29" s="1" t="inlineStr">
        <is>
          <t>準1</t>
        </is>
      </c>
      <c r="D29" s="1" t="inlineStr">
        <is>
          <t>穴埋め形式</t>
        </is>
      </c>
      <c r="E29" s="1" t="inlineStr">
        <is>
          <t>手話の【夜】と【～なる】では（ア）が異なり、【思う】と【心】では（イ）が異なります。また【裁判】と【人事異動】では（ウ）が異なります。このような例から手話という言語は一定の要素が複雑に組み合わさって構成されているといえます。</t>
        </is>
      </c>
      <c r="F29" s="2" t="inlineStr">
        <is>
          <t>1. 手話の位置
2. 手指の動き
3. 語順
4. 趣旨の形
5. 頭の動き
6. 顔の表情
7. 体の向き
8. 手のひらの向き</t>
        </is>
      </c>
      <c r="G29" s="1" t="inlineStr">
        <is>
          <t>8,1,2</t>
        </is>
      </c>
      <c r="H29" s="11" t="inlineStr">
        <is>
          <t>(ア): 8. 手のひらの向き (イ): 1. 手話の位置 (ウ): 2. 手指の動き。全日本ろうあ連盟発行「わたしたちの手話 学習辞典1」などを参照。</t>
        </is>
      </c>
      <c r="I29" s="1" t="inlineStr">
        <is>
          <t>KatsuoShuwaDoga</t>
        </is>
      </c>
    </row>
    <row r="30" ht="126" customHeight="1">
      <c r="A30" s="1">
        <f>ROW()-1</f>
        <v/>
      </c>
      <c r="B30" s="1" t="n">
        <v>2023</v>
      </c>
      <c r="C30" s="1" t="inlineStr">
        <is>
          <t>準1</t>
        </is>
      </c>
      <c r="D30" s="1" t="inlineStr">
        <is>
          <t>穴埋め形式</t>
        </is>
      </c>
      <c r="E30" s="1" t="inlineStr">
        <is>
          <t>（ア）が1969年に発行した「わたしたちの手話」は手話を（イ）で紹介したわが国では初めての本格的な手話単語集でした。それは（ウ）として位置づけられています。</t>
        </is>
      </c>
      <c r="F30" s="2" t="inlineStr">
        <is>
          <t>1. 全国手話研修センター
2. 全国手話通訳問題研究会
3. 全日本ろうあ連盟
4. イラスト
5. 文章
6. 日本語対応手話
7. 映像
8. 標準手話</t>
        </is>
      </c>
      <c r="G30" s="1" t="inlineStr">
        <is>
          <t>3,4,8</t>
        </is>
      </c>
      <c r="H30" s="11" t="inlineStr">
        <is>
          <t>(ア): 3. 全日本ろうあ連盟 (イ): 4. イラスト (ウ): 8. 標準手話。標準手話の全国的な普及と手話サークルの発展に貢献し、日本手話研究所設立への流れを作りました。</t>
        </is>
      </c>
      <c r="I30" s="1" t="inlineStr">
        <is>
          <t>KatsuoShuwaDoga</t>
        </is>
      </c>
    </row>
    <row r="31" ht="126" customHeight="1">
      <c r="A31" s="1">
        <f>ROW()-1</f>
        <v/>
      </c>
      <c r="B31" s="1" t="n">
        <v>2023</v>
      </c>
      <c r="C31" s="1" t="inlineStr">
        <is>
          <t>準1</t>
        </is>
      </c>
      <c r="D31" s="1" t="inlineStr">
        <is>
          <t>穴埋め形式</t>
        </is>
      </c>
      <c r="E31" s="1" t="inlineStr">
        <is>
          <t>（ア）の交付があれば、障害福祉の窓口に申請することで（イ）の交付を受けられます。しかし、両耳の聴力レベルが（ウ）未満の場合は（ア）が交付されないため制度の対象外となり、全額自己負担となります。</t>
        </is>
      </c>
      <c r="F31" s="2" t="inlineStr">
        <is>
          <t>1. 障害者年金手帳
2. 身体障害者手帳
3. 厚生年金手帳
4. 筆談ボード
5. 補聴器
6. 携帯電話
7. 40デシベル
8. 70デシベル</t>
        </is>
      </c>
      <c r="G31" s="1" t="inlineStr">
        <is>
          <t>2,5,8</t>
        </is>
      </c>
      <c r="H31" s="11" t="inlineStr">
        <is>
          <t>(ア): 2. 身体障害者手帳 (イ): 5. 補聴器 (ウ): 8. 70デシベル。現在、軽度・中度難聴者に対する補聴器購入費助成に取り組む自治体は増えていますが、少ない状況です。対象年齢が全年齢・65歳以上、18歳以上など自治体によってばらばらです。</t>
        </is>
      </c>
      <c r="I31" s="1" t="inlineStr">
        <is>
          <t>KatsuoShuwaDoga</t>
        </is>
      </c>
    </row>
    <row r="32" ht="126" customHeight="1">
      <c r="A32" s="1">
        <f>ROW()-1</f>
        <v/>
      </c>
      <c r="B32" s="1" t="n">
        <v>2023</v>
      </c>
      <c r="C32" s="1" t="inlineStr">
        <is>
          <t>準1</t>
        </is>
      </c>
      <c r="D32" s="1" t="inlineStr">
        <is>
          <t>穴埋め形式</t>
        </is>
      </c>
      <c r="E32" s="1" t="inlineStr">
        <is>
          <t>私たちは（ア）を使いお互いの感情や意思を伝えあっていますが（ア）よりも表情、視線、身振りなどのほうがより大切な役割を担っていることがあります。これらの（イ）にはメイクや服装、呼吸や（ウ）などもはいります。</t>
        </is>
      </c>
      <c r="F32" s="2" t="inlineStr">
        <is>
          <t>1. 頭脳
2. ことば
3. 声の調子
4. 指文字
5. 言語コミュニケーション
6. 非言語コミュニケーション
7. 文字
8. メール</t>
        </is>
      </c>
      <c r="G32" s="1" t="inlineStr">
        <is>
          <t>2,6,3</t>
        </is>
      </c>
      <c r="H32" s="11" t="inlineStr">
        <is>
          <t>(ア): 2. ことば (イ): 6. 非言語コミュニケーション (ウ): 3. 声の調子。言葉以外の手段を使って伝える非言語コミュニケーションをうまく使うことで相手により分かりやすく伝えることもあります。</t>
        </is>
      </c>
      <c r="I32" s="1" t="inlineStr">
        <is>
          <t>KatsuoShuwaDoga</t>
        </is>
      </c>
    </row>
    <row r="33" ht="126" customHeight="1">
      <c r="A33" s="1">
        <f>ROW()-1</f>
        <v/>
      </c>
      <c r="B33" s="1" t="n">
        <v>2023</v>
      </c>
      <c r="C33" s="1" t="inlineStr">
        <is>
          <t>準1</t>
        </is>
      </c>
      <c r="D33" s="1" t="inlineStr">
        <is>
          <t>穴埋め形式</t>
        </is>
      </c>
      <c r="E33" s="1" t="inlineStr">
        <is>
          <t>世界には数千もの言語があると言われていますがその伝達方法を見ると音声言語と（ア）言語に二分されます。音声言語は（イ）に依存するだけではありません。文字は音声言語を（ウ）したものです。そのため、文字はろう者も聞こえる人も双方が共通に利用できます。</t>
        </is>
      </c>
      <c r="F33" s="2" t="inlineStr">
        <is>
          <t>1. 視覚化
2. 視覚
3. 聴覚
4. 標準化
5. 方言
6. 概念
7. 筆談
8. 手話</t>
        </is>
      </c>
      <c r="G33" s="1" t="inlineStr">
        <is>
          <t>8,3,1</t>
        </is>
      </c>
      <c r="H33" s="11" t="inlineStr">
        <is>
          <t>(ア): 8. 手話 (イ): 3. 聴覚 (ウ): 1. 視覚化。ろう者は音声言語を視覚化した文字を見て理解できますが耳から入る情報で文字の理解を深めたりすることができないこともあり、文字は苦手だという方がいます。聴覚で知る情報を視覚化すれば聞こえない人・聞こえにくい人はもちろん、聞こえる人にも優しい社会になるでしょう。</t>
        </is>
      </c>
      <c r="I33" s="1" t="inlineStr">
        <is>
          <t>KatsuoShuwaDoga</t>
        </is>
      </c>
    </row>
    <row r="34" ht="126" customHeight="1">
      <c r="A34" s="1">
        <f>ROW()-1</f>
        <v/>
      </c>
      <c r="B34" s="1" t="n">
        <v>2025</v>
      </c>
      <c r="C34" s="1" t="n">
        <v>2</v>
      </c>
      <c r="D34" s="1" t="inlineStr">
        <is>
          <t>4択問題</t>
        </is>
      </c>
      <c r="E34" s="1" t="inlineStr">
        <is>
          <t>きこえない・きこえにくい人ときこえる人との会話をオペレータが手話や文字、音声を使って電話通訳するサービスは何といいますか。</t>
        </is>
      </c>
      <c r="F34" s="2" t="inlineStr">
        <is>
          <t>1. 電話リレーサービス
2. 電話通訳ハローライン
3. ショートメッセージサービス
4. 多言語通訳サービス</t>
        </is>
      </c>
      <c r="G34" s="2" t="n">
        <v>1</v>
      </c>
      <c r="H34" s="11" t="inlineStr">
        <is>
          <t>電話リレーサービスは、聴覚障害者等による電話の利用の円滑化に関する法律（令和2年法律第53号）に基づいたサービスです。電話通訳ハローラインは、通訳オペレータを介して外国語（音声言語）を電話で通訳するサービスです。ショートメッセージサービスは、携帯電話等の電話番号を宛先にメッセージ（文字）のやりとりをするサービスで、略してSMSとも呼ばれています。多言語通訳サービスは、電話やテレビ電話などを介して、外国語などを通訳するサービスで、消防署などに導入されている例があります。</t>
        </is>
      </c>
      <c r="I34" s="1" t="inlineStr">
        <is>
          <t>KatsuoShuwaDoga</t>
        </is>
      </c>
    </row>
    <row r="35" ht="110.25" customHeight="1">
      <c r="A35" s="1">
        <f>ROW()-1</f>
        <v/>
      </c>
      <c r="B35" s="1" t="n">
        <v>2025</v>
      </c>
      <c r="C35" s="1" t="n">
        <v>2</v>
      </c>
      <c r="D35" s="1" t="inlineStr">
        <is>
          <t>4択問題</t>
        </is>
      </c>
      <c r="E35" s="1" t="inlineStr">
        <is>
          <t>1974（昭和49）年に発足し、2024（令和6）年6月に創立50周年を迎えた全国組織で、全日本ろうあ連盟と連携して手話通訳等について全国レベルでの研究・交流を行う団体は、何といいますか。</t>
        </is>
      </c>
      <c r="F35" s="2" t="inlineStr">
        <is>
          <t>1. 全国社会福祉協議会
2. 全国手話通訳問題研究会
3. 全国手話通訳者会議
4. 全国手話サークル連絡協議会</t>
        </is>
      </c>
      <c r="G35" s="2" t="n">
        <v>2</v>
      </c>
      <c r="H35" s="11" t="inlineStr">
        <is>
          <t>全国社会福祉協議会は、都道府県や市町村にある社会福祉協議会の活動を支援するとともに、全国的に共通する福祉課題に対応するため、国への各種提言や調査研究、広報、人材育成などの事業を行っている団体です。全国手話通訳者会議は、1968（昭和43）年6月2日に第1回の会議が福島県で開催されており、まだ数も少なかった手話通訳者の語り合う場を設けるために始まりました。全国手話サークル連絡協議会は、2024（令和6）年現在、存在していませんが、都道府県や地域によっては手話サークル間の交流の場であったり、ろうあ団体とともに活動する団体として、連絡協議会などが結成されています。</t>
        </is>
      </c>
      <c r="I35" s="1" t="inlineStr">
        <is>
          <t>KatsuoShuwaDoga</t>
        </is>
      </c>
    </row>
    <row r="36" ht="141.75" customHeight="1">
      <c r="A36" s="1">
        <f>ROW()-1</f>
        <v/>
      </c>
      <c r="B36" s="1" t="n">
        <v>2025</v>
      </c>
      <c r="C36" s="1" t="n">
        <v>2</v>
      </c>
      <c r="D36" s="1" t="inlineStr">
        <is>
          <t>4択問題</t>
        </is>
      </c>
      <c r="E36" s="1" t="inlineStr">
        <is>
          <t>聴覚障害の種類のうち、内耳や聴神経の障害によって起こり、補聴器を使用しても音の聞き分けが難しいものはどれですか。</t>
        </is>
      </c>
      <c r="F36" s="2" t="inlineStr">
        <is>
          <t>1. 感音性難聴
2. 伝音性難聴
3. 突発性難聴
4. 心因性難聴</t>
        </is>
      </c>
      <c r="G36" s="2" t="n">
        <v>1</v>
      </c>
      <c r="H36" s="11" t="inlineStr">
        <is>
          <t>感音性難聴は内耳や聴神経の障害が原因で起こる難聴です。音がひずんで聞こえたり、大きな音がうるさく感じたりする特徴があります。補聴器を使用しても音の聞き分けが難しい場合があります。一方、伝音性難聴は外耳や中耳の障害が原因で、補聴器の効果が得られやすいです。</t>
        </is>
      </c>
      <c r="I36" s="1" t="inlineStr">
        <is>
          <t>KatsuoShuwaDoga</t>
        </is>
      </c>
    </row>
    <row r="37" ht="78.75" customHeight="1">
      <c r="A37" s="1">
        <f>ROW()-1</f>
        <v/>
      </c>
      <c r="B37" s="1" t="n">
        <v>2025</v>
      </c>
      <c r="C37" s="1" t="n">
        <v>2</v>
      </c>
      <c r="D37" s="1" t="inlineStr">
        <is>
          <t>4択問題</t>
        </is>
      </c>
      <c r="E37" s="1" t="inlineStr">
        <is>
          <t>身体障害者福祉法において、聴覚障害者が認定される級で、両耳の聴力レベルが70デシベル以上のものは何級に当たりますか。</t>
        </is>
      </c>
      <c r="F37" s="2" t="inlineStr">
        <is>
          <t>1. 2級
2. 4級
3. 6級
4. 3級</t>
        </is>
      </c>
      <c r="G37" s="2" t="n">
        <v>3</v>
      </c>
      <c r="H37" s="11" t="inlineStr">
        <is>
          <t>身体障害者福祉法において、両耳の聴力レベルが70デシベル以上の場合は6級に該当します。2級は両耳100デシベル以上、3級は90デシベル以上、4級は80デシベル以上が基準です。</t>
        </is>
      </c>
      <c r="I37" s="1" t="inlineStr">
        <is>
          <t>KatsuoShuwaDoga</t>
        </is>
      </c>
    </row>
    <row r="38" ht="63" customHeight="1">
      <c r="A38" s="1">
        <f>ROW()-1</f>
        <v/>
      </c>
      <c r="B38" s="1" t="n">
        <v>2025</v>
      </c>
      <c r="C38" s="1" t="n">
        <v>2</v>
      </c>
      <c r="D38" s="1" t="inlineStr">
        <is>
          <t>4択問題</t>
        </is>
      </c>
      <c r="E38" s="1" t="inlineStr">
        <is>
          <t>日本で最初のろう学校といわれているのはどこですか。</t>
        </is>
      </c>
      <c r="F38" s="2" t="inlineStr">
        <is>
          <t>1. 東京盲唖院
2. 京都盲唖院
3. 大阪盲唖院
4. 名古屋盲唖院</t>
        </is>
      </c>
      <c r="G38" s="2" t="n">
        <v>2</v>
      </c>
      <c r="H38" s="11" t="inlineStr">
        <is>
          <t>1869（明治2）年、京都府立盲唖院が日本で初めて設立されたろう学校とされる。生活の場を提供するとともに、子どもたちに手話を教えながら読み書きを学ばせた。京都盲唖院は、後に京都府立聾学校と京都府立盲学校に分かれ、現在も存続している。</t>
        </is>
      </c>
      <c r="I38" s="1" t="inlineStr">
        <is>
          <t>KatsuoShuwaDoga</t>
        </is>
      </c>
    </row>
    <row r="39" ht="63" customHeight="1">
      <c r="A39" s="1">
        <f>ROW()-1</f>
        <v/>
      </c>
      <c r="B39" s="1" t="n">
        <v>2025</v>
      </c>
      <c r="C39" s="1" t="n">
        <v>2</v>
      </c>
      <c r="D39" s="1" t="inlineStr">
        <is>
          <t>4択問題</t>
        </is>
      </c>
      <c r="E39" s="1" t="inlineStr">
        <is>
          <t>「個人の心の問題」に障害の原因を帰す考え方であるモデルはどれですか。</t>
        </is>
      </c>
      <c r="F39" s="2" t="inlineStr">
        <is>
          <t>1. ノーマライゼーション
2. バリアフリー
3. 社会モデル
4. 医学モデル</t>
        </is>
      </c>
      <c r="G39" s="2" t="n">
        <v>4</v>
      </c>
      <c r="H39" s="11" t="inlineStr">
        <is>
          <t>医学モデルは、障害を個人の心身機能の障害に起因すると考える立場である。一方、社会モデルは社会のバリアを原因とし、バリアフリーやノーマライゼーションの理念が広がってきた。</t>
        </is>
      </c>
      <c r="I39" s="1" t="inlineStr">
        <is>
          <t>KatsuoShuwaDoga</t>
        </is>
      </c>
    </row>
    <row r="40" ht="63" customHeight="1">
      <c r="A40" s="1">
        <f>ROW()-1</f>
        <v/>
      </c>
      <c r="B40" s="1" t="n">
        <v>2025</v>
      </c>
      <c r="C40" s="1" t="n">
        <v>2</v>
      </c>
      <c r="D40" s="1" t="inlineStr">
        <is>
          <t>4択問題</t>
        </is>
      </c>
      <c r="E40" s="1" t="inlineStr">
        <is>
          <t>国民の障害者に関する理解と関心を深めるために制定された障害者週間は、毎年何月に実施されていますか。</t>
        </is>
      </c>
      <c r="F40" s="2" t="inlineStr">
        <is>
          <t>1. 1月
2. 8月
3. 10月
4. 12月</t>
        </is>
      </c>
      <c r="G40" s="2" t="n">
        <v>4</v>
      </c>
      <c r="H40" s="11" t="inlineStr">
        <is>
          <t>障害者基本法（昭和45年法律第84号）に基づき、毎年12月3日から9日までを「障害者週間」と定めている。</t>
        </is>
      </c>
      <c r="I40" s="1" t="inlineStr">
        <is>
          <t>KatsuoShuwaDoga</t>
        </is>
      </c>
    </row>
    <row r="41" ht="63" customHeight="1">
      <c r="A41" s="1">
        <f>ROW()-1</f>
        <v/>
      </c>
      <c r="B41" s="1" t="n">
        <v>2025</v>
      </c>
      <c r="C41" s="1" t="n">
        <v>2</v>
      </c>
      <c r="D41" s="1" t="inlineStr">
        <is>
          <t>4択問題</t>
        </is>
      </c>
      <c r="E41" s="1" t="inlineStr">
        <is>
          <t>1963年に日本で最初の手話サークルといわれる「手話学習会みみずく」が設立されたのはどこですか。</t>
        </is>
      </c>
      <c r="F41" s="2" t="inlineStr">
        <is>
          <t>1. 鳥取市
2. 札幌市
3. 福岡市
4. 京都市</t>
        </is>
      </c>
      <c r="G41" s="2" t="n">
        <v>4</v>
      </c>
      <c r="H41" s="11" t="inlineStr">
        <is>
          <t>1963年、京都市で「京都市手話学習会みみずく」が結成された。ろう者と健聴者が「一緒に話したい」という思いから始まり、現在も活動を続けている。</t>
        </is>
      </c>
      <c r="I41" s="1" t="inlineStr">
        <is>
          <t>KatsuoShuwaDoga</t>
        </is>
      </c>
    </row>
    <row r="42" ht="63" customHeight="1">
      <c r="A42" s="1">
        <f>ROW()-1</f>
        <v/>
      </c>
      <c r="B42" s="1" t="n">
        <v>2025</v>
      </c>
      <c r="C42" s="1" t="n">
        <v>2</v>
      </c>
      <c r="D42" s="1" t="inlineStr">
        <is>
          <t>4択問題</t>
        </is>
      </c>
      <c r="E42" s="1" t="inlineStr">
        <is>
          <t>1987年に聴覚障害者と視覚障害者のための高等教育機関として設立された大学の現在の名称はどれですか。</t>
        </is>
      </c>
      <c r="F42" s="2" t="inlineStr">
        <is>
          <t>1. 日本障害者福祉大学
2. 日本ろうあ者技術大学
3. 筑波技術大学
4. 筑波総合福祉大学</t>
        </is>
      </c>
      <c r="G42" s="2" t="n">
        <v>3</v>
      </c>
      <c r="H42" s="11" t="inlineStr">
        <is>
          <t>1978年に設置が検討され、1987年に聴覚障害者と視覚障害者のための高等教育機関として設立された。現在の名称は「筑波技術大学」である。</t>
        </is>
      </c>
      <c r="I42" s="1" t="inlineStr">
        <is>
          <t>KatsuoShuwaDoga</t>
        </is>
      </c>
    </row>
    <row r="43" ht="63" customHeight="1">
      <c r="A43" s="1">
        <f>ROW()-1</f>
        <v/>
      </c>
      <c r="B43" s="1" t="n">
        <v>2025</v>
      </c>
      <c r="C43" s="1" t="n">
        <v>2</v>
      </c>
      <c r="D43" s="1" t="inlineStr">
        <is>
          <t>4択問題</t>
        </is>
      </c>
      <c r="E43" s="1" t="inlineStr">
        <is>
          <t>聴覚障害者の主なコミュニケーション手段ではないものはどれですか。</t>
        </is>
      </c>
      <c r="F43" s="2" t="inlineStr">
        <is>
          <t>1. 手話
2. 筆談
3. 指文字
4. 点字</t>
        </is>
      </c>
      <c r="G43" s="2" t="n">
        <v>4</v>
      </c>
      <c r="H43" s="11" t="inlineStr">
        <is>
          <t>聴覚障害者の主なコミュニケーション手段には手話、筆談、指文字があり、点字は視覚障害者が用いるため該当しません。</t>
        </is>
      </c>
      <c r="I43" s="1" t="inlineStr">
        <is>
          <t>KatsuoShuwaDoga</t>
        </is>
      </c>
    </row>
    <row r="44" ht="63" customHeight="1">
      <c r="A44" s="1">
        <f>ROW()-1</f>
        <v/>
      </c>
      <c r="B44" s="1" t="n">
        <v>2025</v>
      </c>
      <c r="C44" s="1" t="n">
        <v>2</v>
      </c>
      <c r="D44" s="1" t="inlineStr">
        <is>
          <t>4択問題</t>
        </is>
      </c>
      <c r="E44" s="1" t="inlineStr">
        <is>
          <t>耳の構造は大きく分けて外耳、中耳、内耳、聴神経に分けられます。蝸牛はどの部位に当たりますか。</t>
        </is>
      </c>
      <c r="F44" s="2" t="inlineStr">
        <is>
          <t>1. 外耳
2. 中耳
3. 内耳
4. 聴神経</t>
        </is>
      </c>
      <c r="G44" s="2" t="n">
        <v>3</v>
      </c>
      <c r="H44" s="11" t="inlineStr">
        <is>
          <t>蝸牛は内耳に含まれる器官で、音の振動を電気信号に変換する役割を持ちます。</t>
        </is>
      </c>
      <c r="I44" s="1" t="inlineStr">
        <is>
          <t>KatsuoShuwaDoga</t>
        </is>
      </c>
    </row>
    <row r="45" ht="63" customHeight="1">
      <c r="A45" s="1">
        <f>ROW()-1</f>
        <v/>
      </c>
      <c r="B45" s="1" t="n">
        <v>2025</v>
      </c>
      <c r="C45" s="1" t="n">
        <v>2</v>
      </c>
      <c r="D45" s="1" t="inlineStr">
        <is>
          <t>4択問題</t>
        </is>
      </c>
      <c r="E45" s="1" t="inlineStr">
        <is>
          <t>1969（昭和44）年に、標準手話の普及のため「わたしたちの手話」が発行されました。標準手話の普及についての記述のうち、正しいのはどれですか。</t>
        </is>
      </c>
      <c r="F45" s="2" t="inlineStr">
        <is>
          <t>1. 標準手話と地域の手話のどちらを使うかは地域のろう協会が決めた
2. 標準手話と地域の手話、どちらも尊重する方針で普及した
3. 地域の手話よりも標準手話を優先して普及した
4. 地域では地域の手話だけ使えばよいので、標準手話はあまり普及しなかった</t>
        </is>
      </c>
      <c r="G45" s="2" t="n">
        <v>2</v>
      </c>
      <c r="H45" s="11" t="inlineStr">
        <is>
          <t>「わたしたちの手話」は全国的に標準手話を普及させるために発行され、地域手話も尊重しつつ普及が進められました。</t>
        </is>
      </c>
      <c r="I45" s="1" t="inlineStr">
        <is>
          <t>KatsuoShuwaDoga</t>
        </is>
      </c>
    </row>
    <row r="46" ht="63" customHeight="1">
      <c r="A46" s="1">
        <f>ROW()-1</f>
        <v/>
      </c>
      <c r="B46" s="1" t="n">
        <v>2025</v>
      </c>
      <c r="C46" s="1" t="n">
        <v>2</v>
      </c>
      <c r="D46" s="1" t="inlineStr">
        <is>
          <t>4択問題</t>
        </is>
      </c>
      <c r="E46" s="1" t="inlineStr">
        <is>
          <t>2006（平成18）年12月に第61回国連総会で採択され、第2条の定義で「言語」とは音声言語及び手話その他の形態の非音声言語をいうと明記されたのはどれですか。</t>
        </is>
      </c>
      <c r="F46" s="2" t="inlineStr">
        <is>
          <t>1. 障害者基本法
2. 障害者差別解消法
3. 障害者権利条約
4. 障害者総合支援法</t>
        </is>
      </c>
      <c r="G46" s="2" t="n">
        <v>3</v>
      </c>
      <c r="H46" s="11" t="inlineStr">
        <is>
          <t>障害者権利条約では「言語」に手話を含めることが明記され、国際的に手話が言語として認知されました。</t>
        </is>
      </c>
      <c r="I46" s="1" t="inlineStr">
        <is>
          <t>KatsuoShuwaDoga</t>
        </is>
      </c>
    </row>
    <row r="47" ht="126" customHeight="1">
      <c r="A47" s="1">
        <f>ROW()-1</f>
        <v/>
      </c>
      <c r="B47" s="1" t="n">
        <v>2025</v>
      </c>
      <c r="C47" s="1" t="n">
        <v>2</v>
      </c>
      <c r="D47" s="1" t="inlineStr">
        <is>
          <t>4択問題</t>
        </is>
      </c>
      <c r="E47" s="1" t="inlineStr">
        <is>
          <t>次の語のうち、両手の形が同じになる手話表現はどれですか。</t>
        </is>
      </c>
      <c r="F47" s="2" t="inlineStr">
        <is>
          <t>1. アルコール
2. アルバイト
3. アルツハイマー
4. アンケート</t>
        </is>
      </c>
      <c r="G47" s="2" t="n">
        <v>3</v>
      </c>
      <c r="H47" s="11" t="inlineStr">
        <is>
          <t>「アルツハイマー」は両手の人差し指を立て、顔の両脇でクルクルと同時に回す表現で、両手の形が同じになります。</t>
        </is>
      </c>
      <c r="I47" s="1" t="inlineStr">
        <is>
          <t>KatsuoShuwaDoga</t>
        </is>
      </c>
    </row>
    <row r="48" ht="63" customHeight="1">
      <c r="A48" s="1">
        <f>ROW()-1</f>
        <v/>
      </c>
      <c r="B48" s="1" t="n">
        <v>2025</v>
      </c>
      <c r="C48" s="1" t="n">
        <v>2</v>
      </c>
      <c r="D48" s="1" t="inlineStr">
        <is>
          <t>4択問題</t>
        </is>
      </c>
      <c r="E48" s="1" t="inlineStr">
        <is>
          <t>毎年9月23日は青色のライトアップが行われることがあります。この日は何に由来しますか。</t>
        </is>
      </c>
      <c r="F48" s="2" t="inlineStr">
        <is>
          <t>1. 手話言語の国際デー
2. 世界みみの日
3. 世界障害者デー
4. 国際ろうの日</t>
        </is>
      </c>
      <c r="G48" s="2" t="n">
        <v>1</v>
      </c>
      <c r="H48" s="11" t="inlineStr">
        <is>
          <t>9月23日は1951年に世界ろう連盟（WFD）が設立された日に由来し、2017年に国連で「手話言語の国際デー」と定められました。</t>
        </is>
      </c>
      <c r="I48" s="1" t="inlineStr">
        <is>
          <t>KatsuoShuwaDoga</t>
        </is>
      </c>
    </row>
    <row r="49" ht="63" customHeight="1">
      <c r="A49" s="1">
        <f>ROW()-1</f>
        <v/>
      </c>
      <c r="B49" s="1" t="n">
        <v>2025</v>
      </c>
      <c r="C49" s="1" t="n">
        <v>2</v>
      </c>
      <c r="D49" s="1" t="inlineStr">
        <is>
          <t>4択問題</t>
        </is>
      </c>
      <c r="E49" s="1" t="inlineStr">
        <is>
          <t>音の大きさ（強さ）の単位はどれですか。</t>
        </is>
      </c>
      <c r="F49" s="2" t="inlineStr">
        <is>
          <t>1. ワット(W)　
2. ヘルツ(Hz)　
3. デシベル(dB)　
4. メートル(m)</t>
        </is>
      </c>
      <c r="G49" s="2" t="n">
        <v>3</v>
      </c>
      <c r="H49" s="11" t="inlineStr">
        <is>
          <t>音の大きさを表す単位はデシベル(dB)です。ワットは電力の単位、ヘルツは周波数、メートルは長さを表します。</t>
        </is>
      </c>
      <c r="I49" s="1" t="inlineStr">
        <is>
          <t>KatsuoShuwaDoga</t>
        </is>
      </c>
    </row>
    <row r="50" ht="63" customHeight="1">
      <c r="A50" s="1">
        <f>ROW()-1</f>
        <v/>
      </c>
      <c r="B50" s="1" t="n">
        <v>2025</v>
      </c>
      <c r="C50" s="1" t="n">
        <v>2</v>
      </c>
      <c r="D50" s="1" t="inlineStr">
        <is>
          <t>4択問題</t>
        </is>
      </c>
      <c r="E50" s="1" t="inlineStr">
        <is>
          <t>聴覚障害者のコミュニケーション手段について、正しいものはどれですか。</t>
        </is>
      </c>
      <c r="F50" s="2" t="inlineStr">
        <is>
          <t>1. 補聴器をつけていれば、耳もとでささやき声でも必ず伝わる　
2. 文字の読み書きが苦手な人もいるので、ひらがきだけで伝わる　
3. すべての人が手話を理解できる　
4. 手話、筆談、身振り、指文字など多様な手段がある</t>
        </is>
      </c>
      <c r="G50" s="2" t="n">
        <v>4</v>
      </c>
      <c r="H50" s="11" t="inlineStr">
        <is>
          <t>聴覚障害者のコミュニケーションには手話・筆談・指文字・身振りなど多様な手段があります。個人差があるため一つの方法に限定することはできません。</t>
        </is>
      </c>
      <c r="I50" s="1" t="inlineStr">
        <is>
          <t>KatsuoShuwaDoga</t>
        </is>
      </c>
    </row>
    <row r="51" ht="63" customHeight="1">
      <c r="A51" s="1">
        <f>ROW()-1</f>
        <v/>
      </c>
      <c r="B51" s="1" t="n">
        <v>2025</v>
      </c>
      <c r="C51" s="1" t="n">
        <v>2</v>
      </c>
      <c r="D51" s="1" t="inlineStr">
        <is>
          <t>4択問題</t>
        </is>
      </c>
      <c r="E51" s="1" t="inlineStr">
        <is>
          <t>人工内耳に関する記述のうち、正しくないものはどれですか。</t>
        </is>
      </c>
      <c r="F51" s="2" t="inlineStr">
        <is>
          <t>1. 人工内耳は音声信号を電気信号に変えるスピーチプロセッサが必要である　
2. 人工内耳には外部装置が必要である　
3. 人工内耳はつけた後、リハビリテーションなどは必要ない　
4. 人工内耳は耳の奥に電極を埋め込む</t>
        </is>
      </c>
      <c r="G51" s="2" t="n">
        <v>3</v>
      </c>
      <c r="H51" s="11" t="inlineStr">
        <is>
          <t>人工内耳は手術後もリハビリテーションが必要です。外部装置と組み合わせて音を認識できるようになります。</t>
        </is>
      </c>
      <c r="I51" s="1" t="inlineStr">
        <is>
          <t>KatsuoShuwaDoga</t>
        </is>
      </c>
    </row>
    <row r="52" ht="110.25" customHeight="1">
      <c r="A52" s="1">
        <f>ROW()-1</f>
        <v/>
      </c>
      <c r="B52" s="1" t="n">
        <v>2025</v>
      </c>
      <c r="C52" s="1" t="n">
        <v>2</v>
      </c>
      <c r="D52" s="1" t="inlineStr">
        <is>
          <t>4択問題</t>
        </is>
      </c>
      <c r="E52" s="1" t="inlineStr">
        <is>
          <t>道路交通法で定められた「聴覚障害者標識（マーク）」はどれですか。</t>
        </is>
      </c>
      <c r="F52" s="2" t="inlineStr">
        <is>
          <t>1. 蝶々のような緑と黄色のマーク
2. 四つ葉のクローバーの緑のマーク
3. 白地に十字のマーク
4. ハートマーク</t>
        </is>
      </c>
      <c r="G52" s="2" t="n">
        <v>1</v>
      </c>
      <c r="H52" s="11" t="inlineStr">
        <is>
          <t>聴覚障害者標識は蝶々のような形をした緑と黄色のマークです。2008年の道路交通法改正により導入されました。車に貼ることで周囲に配慮を促す役割を持ちます。なお、四つ葉のクローバーマークは身体障害者標識です。</t>
        </is>
      </c>
      <c r="I52" s="1" t="inlineStr">
        <is>
          <t>KatsuoShuwaDoga</t>
        </is>
      </c>
    </row>
    <row r="53" ht="63" customHeight="1">
      <c r="A53" s="1">
        <f>ROW()-1</f>
        <v/>
      </c>
      <c r="B53" s="1" t="n">
        <v>2025</v>
      </c>
      <c r="C53" s="1" t="inlineStr">
        <is>
          <t>準1</t>
        </is>
      </c>
      <c r="D53" s="1" t="inlineStr">
        <is>
          <t>穴埋め形式</t>
        </is>
      </c>
      <c r="E53" s="1" t="inlineStr">
        <is>
          <t>ろう者にとって（ア）は大切なコミュニケーション手段です。そして、ろう者の情報保障として（イ）がある。（イ）には2種類ある。音声言語に変換するのは（ウ）、さらに音声を手話に翻訳するのは（エ）といいます。（ア）〜（エ）に入る語句を選びなさい。</t>
        </is>
      </c>
      <c r="F53" s="2" t="inlineStr">
        <is>
          <t>1. 要約筆記
2. 手話
3. 逐次通訳
4. 聴覚障害
5. 音声通訳
6. 文字
7. 手話通訳
8. 身体支援
9. 口話法1
0. 言語的支援</t>
        </is>
      </c>
      <c r="G53" s="1" t="inlineStr">
        <is>
          <t>2,7,4,5</t>
        </is>
      </c>
      <c r="H53" s="11" t="inlineStr">
        <is>
          <t>（ア）手話／（イ）手話通訳の指示先＝聴覚障害／（ウ）手話通訳／（エ）音声通訳という対応。</t>
        </is>
      </c>
      <c r="I53" s="1" t="inlineStr">
        <is>
          <t>KatsuoShuwaDoga</t>
        </is>
      </c>
    </row>
    <row r="54" ht="63" customHeight="1">
      <c r="A54" s="1">
        <f>ROW()-1</f>
        <v/>
      </c>
      <c r="B54" s="1" t="n">
        <v>2025</v>
      </c>
      <c r="C54" s="1" t="inlineStr">
        <is>
          <t>準1</t>
        </is>
      </c>
      <c r="D54" s="1" t="inlineStr">
        <is>
          <t>穴埋め形式</t>
        </is>
      </c>
      <c r="E54" s="1" t="inlineStr">
        <is>
          <t>手話の歴史は、フランスの（ア）が1760年にパリで設立したろう学校で系統化が始まったとされます。日本で最初のろう学校は（イ）です。（ウ）が1878年に設立しました。</t>
        </is>
      </c>
      <c r="F54" s="2" t="inlineStr">
        <is>
          <t>1. ド・レペ
2. 京都聾唖院
3. 古河太四郎
4. 都立聾唖学校
5. グラハム・ベル
6. 補聴器
7. ベルケラー
8. 高橋器具</t>
        </is>
      </c>
      <c r="G54" s="1" t="inlineStr">
        <is>
          <t>1,2,3</t>
        </is>
      </c>
      <c r="H54" s="11" t="inlineStr">
        <is>
          <t>近代ろう教育の端緒はド・レペ（仏）。日本最初は1878（明治11）年の京都聾唖院。</t>
        </is>
      </c>
      <c r="I54" s="1" t="inlineStr">
        <is>
          <t>KatsuoShuwaDoga</t>
        </is>
      </c>
    </row>
    <row r="55" ht="94.5" customHeight="1">
      <c r="A55" s="1">
        <f>ROW()-1</f>
        <v/>
      </c>
      <c r="B55" s="1" t="n">
        <v>2025</v>
      </c>
      <c r="C55" s="1" t="inlineStr">
        <is>
          <t>準1</t>
        </is>
      </c>
      <c r="D55" s="1" t="inlineStr">
        <is>
          <t>穴埋め形式</t>
        </is>
      </c>
      <c r="E55" s="1" t="inlineStr">
        <is>
          <t>（ア）は、聴覚や発話に困難のある人（きこえない人）と、きこえる人（聴覚障害等以外の人）との会話を通訳オペレータが（イ）または「文字」と「音声」を通訳することで、即時（ウ）につながることができる、法律に基づいた公共インフラとしてのサービスです。2020（令和2）年6月、「聴覚障害者等による電話の利用の円滑化に関する法律」が制定され制度化されました。</t>
        </is>
      </c>
      <c r="F55" s="2" t="inlineStr">
        <is>
          <t>1. 電話リレーサービス
2. FAXリレーサービス
3. 遠隔サービス
4. 英語
5. 手話
6. 身振り
7. 双方向
8. 一方向</t>
        </is>
      </c>
      <c r="G55" s="1" t="inlineStr">
        <is>
          <t>1,5,7</t>
        </is>
      </c>
      <c r="H55" s="11" t="inlineStr">
        <is>
          <t>民間サービスで行われてきた「電話リレーサービス」が、2020（令和2）年から公的サービスとして整備されました。聴覚障害者はネット回線を通じて、手話等で「電話リレーサービス提供機関」の通訳オペレータに意思を伝え、それを電話の相手方あるいは警察や消防等の緊急通報受理機関に音声等で伝えることで、双方が電話でコミュニケーションを取ることができます。
このサービスはきこえる人が電話をいつでも使えるのと同様に、24時間・365日利用が可能です。利用料金もきこえる人の電話料等と変わりません。電話リレーサービスにかかる費用は、各電話会社により負担されており、携帯電話利用者の利用料に「電話リレーサービス料」として計上されています。</t>
        </is>
      </c>
      <c r="I55" s="1" t="inlineStr">
        <is>
          <t>KatsuoShuwaDoga</t>
        </is>
      </c>
    </row>
    <row r="56" ht="63" customHeight="1">
      <c r="A56" s="1">
        <f>ROW()-1</f>
        <v/>
      </c>
      <c r="B56" s="1" t="n">
        <v>2025</v>
      </c>
      <c r="C56" s="1" t="inlineStr">
        <is>
          <t>準1</t>
        </is>
      </c>
      <c r="D56" s="1" t="inlineStr">
        <is>
          <t>穴埋め形式</t>
        </is>
      </c>
      <c r="E56" s="1" t="inlineStr">
        <is>
          <t>聴覚障害者活動は、ひとことで言えば、社会への（ア）をめざす取り組みといえます。多くの運動の成果として、「人権を守る活動」では、（イ）、民法第11条の改正、（ウ）があげられます。</t>
        </is>
      </c>
      <c r="F56" s="2" t="inlineStr">
        <is>
          <t>1. 医師法等の絶対的欠格条項の改正
2. エコツーリズム
3. 男女雇用機会均等
4. 自動車運転免許の獲得
5. 全国手話研修センター設立
6. 完全参加と平等
7. 介護保険
8. 手話言語の理解と普及</t>
        </is>
      </c>
      <c r="G56" s="1" t="inlineStr">
        <is>
          <t>6,4,1</t>
        </is>
      </c>
      <c r="H56" s="11" t="inlineStr">
        <is>
          <t>自動車運転免許獲得運動は、1968（昭和43）年の岩手県での聴覚障害者の運転免許裁判をきっかけに展開されました。裁判では敗訴したものの、1973（昭和48）年には「補聴器装着条件での運転を認める」という警察庁通達が出され、翌年の道路交通法の改正では、補聴器を装着しても全くきこえない者を対象に「聴覚障害者用表示」「特定後写鏡（ワイドミラーまたは補助ミラー）」の装着を条件に運転免許が可能になりました。その後2007（平成19）年の道路交通法改正により、装着条件が緩和され、2012（平成24）年には貨物車、2016（平成28）年には営業バス、タクシーも条件付きで運転できるようになりました。</t>
        </is>
      </c>
      <c r="I56" s="1" t="inlineStr">
        <is>
          <t>KatsuoShuwaDoga</t>
        </is>
      </c>
    </row>
    <row r="57" ht="157.5" customHeight="1">
      <c r="A57" s="1">
        <f>ROW()-1</f>
        <v/>
      </c>
      <c r="B57" s="1" t="n">
        <v>2025</v>
      </c>
      <c r="C57" s="1" t="inlineStr">
        <is>
          <t>準1</t>
        </is>
      </c>
      <c r="D57" s="1" t="inlineStr">
        <is>
          <t>穴埋め形式</t>
        </is>
      </c>
      <c r="E57" s="1" t="inlineStr">
        <is>
          <t>手話の「思う」と「私」では（ア）が異なります。「売る」と「買う」では（イ）が異なり、「男」と「女」では（ウ）が異なります。このような例から、手話言語は一定の要素が複雑に組み合わさって構成されているといえます。</t>
        </is>
      </c>
      <c r="F57" s="2" t="inlineStr">
        <is>
          <t>1. 手の位置
2. 手の動き
3. 語順
4. 手の形
5. 手のひらの向き
6. 顔の表情
7. 体の向き
8. リズム</t>
        </is>
      </c>
      <c r="G57" s="1" t="inlineStr">
        <is>
          <t>1,2,4</t>
        </is>
      </c>
      <c r="H57" s="11" t="inlineStr">
        <is>
          <t>手話は、手の形（手のひらを含む）、手の位置、手の動きが構成要素になっています。「思う」と「私」は人差し指の手の形は同じですが、「思う」はこめかみの辺りを指し、「私」は胸の前や顔の前を指すので、手の位置が異なります。また、「売る」と「買う」は手の動きが逆で意味が分かれ、「男」と「女」は手の形が異なることで意味を区別します。</t>
        </is>
      </c>
      <c r="I57" s="1" t="inlineStr">
        <is>
          <t>KatsuoShuwaDoga</t>
        </is>
      </c>
    </row>
    <row r="58" ht="126" customHeight="1">
      <c r="A58" s="1">
        <f>ROW()-1</f>
        <v/>
      </c>
      <c r="B58" s="1" t="n">
        <v>2025</v>
      </c>
      <c r="C58" s="1" t="inlineStr">
        <is>
          <t>準1</t>
        </is>
      </c>
      <c r="D58" s="1" t="inlineStr">
        <is>
          <t>穴埋め形式</t>
        </is>
      </c>
      <c r="E58" s="1" t="inlineStr">
        <is>
          <t>全日本ろうあ運動が権利獲得のため取り組んだ運動は様々あります。1985（昭和60）年に（ア）制度化を提言するため厚生省（当時）に提出した報告をもとに作成されたパンフレット（イ）普及の取り組みは、当時の人口の約1％である（ウ）を想定して行われました。</t>
        </is>
      </c>
      <c r="F58" s="2" t="inlineStr">
        <is>
          <t>1. 手話認定
2. 手話通訳
3. 『アイ・ラブ・コミュニケーション』
4. 『We Love』パンフ
5. 『手話でGo！』パンフ
6. 手話言語法
7. 120万部
8. 15万部</t>
        </is>
      </c>
      <c r="G58" s="1" t="inlineStr">
        <is>
          <t>2,3,7</t>
        </is>
      </c>
      <c r="H58" s="11" t="inlineStr">
        <is>
          <t>手話通訳者の養成、設置・派遣の方法、全国統一の資格認定の必要性などをまとめた「手話通訳者養成指導者報告書」の内容を国民に広く理解してもらう目的で作成されたのが『アイ・ラブ・コミュニケーション』パンフレットです。普及活動は日本の人口の約1％に読んでもらうことを目標にしており、120万部を普及目標として印刷・配布されました。</t>
        </is>
      </c>
      <c r="I58" s="1" t="inlineStr">
        <is>
          <t>KatsuoShuwaDoga</t>
        </is>
      </c>
    </row>
    <row r="59" ht="157.5" customHeight="1">
      <c r="A59" s="1">
        <f>ROW()-1</f>
        <v/>
      </c>
      <c r="B59" s="1" t="n">
        <v>2025</v>
      </c>
      <c r="C59" s="1" t="inlineStr">
        <is>
          <t>準1</t>
        </is>
      </c>
      <c r="D59" s="1" t="inlineStr">
        <is>
          <t>穴埋め形式</t>
        </is>
      </c>
      <c r="E59" s="1" t="inlineStr">
        <is>
          <t>きこえにくい状態を「難聴」と言います。難聴の種類には伝音性難聴と（ア）難聴、混合性難聴があります。聴力が最大で70デシベルを超えない伝音系のみに障害のある場合は、（イ）に音のエネルギーが伝わりにくくなるだけで、（ウ）の利用は有効です。</t>
        </is>
      </c>
      <c r="F59" s="2" t="inlineStr">
        <is>
          <t>1. 遺伝性
2. 補聴器
3. ヒアリングループ
4. 感音性
5. 赤外線式補聴システム
6. 聴神経
7. 突発性
8. 外耳
9. 中耳1
0. 内耳</t>
        </is>
      </c>
      <c r="G59" s="1" t="inlineStr">
        <is>
          <t>4,10,2</t>
        </is>
      </c>
      <c r="H59" s="11" t="inlineStr">
        <is>
          <t>伝音性難聴は、外耳道から鼓膜、耳小骨までの外耳や中耳に原因があり、音のエネルギー（空気振動の伝導）が内耳に届きにくくなるものです。この場合、補聴器を使用すれば有効であり、多くの人にとって適切に音を拡大して伝えることができます。一方、感音性難聴は、内耳の有毛細胞や聴神経に障害があるために起こるきこえにくさを指します。</t>
        </is>
      </c>
      <c r="I59" s="1" t="inlineStr">
        <is>
          <t>KatsuoShuwaDoga</t>
        </is>
      </c>
    </row>
    <row r="60" ht="141.75" customHeight="1">
      <c r="A60" s="1">
        <f>ROW()-1</f>
        <v/>
      </c>
      <c r="B60" s="1" t="n">
        <v>2025</v>
      </c>
      <c r="C60" s="1" t="inlineStr">
        <is>
          <t>準1</t>
        </is>
      </c>
      <c r="D60" s="1" t="inlineStr">
        <is>
          <t>穴埋め形式</t>
        </is>
      </c>
      <c r="E60" s="1" t="inlineStr">
        <is>
          <t>障害者福祉制度は、2003（平成15）年4月の（ア）の導入により、従来の「措置制度」から大きく転換されましたが、新たな課題が生じてきました。これらの課題の解決をめざし、2005（平成17）年11月に（イ）が公布されました。さらに2013（平成25）年4月に（ウ）となり、障害者に対する支援の拡充などの改正が行われました。</t>
        </is>
      </c>
      <c r="F60" s="2" t="inlineStr">
        <is>
          <t>1. 支援費制度
2. 障害者自立支援法
3. 障害者総合支援法
4. 身体障害者福祉法
5. 社会福祉法
6. 障害者雇用促進法
7. 聴覚障害者情報提供施設
8. 公費負担制度</t>
        </is>
      </c>
      <c r="G60" s="1" t="inlineStr">
        <is>
          <t>1,2,3</t>
        </is>
      </c>
      <c r="H60" s="11" t="inlineStr">
        <is>
          <t>戦後日本の障害者福祉制度は、行政が利用先や内容を決める「措置制度」で運営されていましたが、2003年に「支援費制度」が導入され、利用者自身が選択できる方式に変わりました。しかし課題も多く、2005年には「障害者自立支援法」が制定され、さらに2013年には「障害者総合支援法」に改正され、支援の拡充が図られました。</t>
        </is>
      </c>
      <c r="I60" s="1" t="inlineStr">
        <is>
          <t>KatsuoShuwaDoga</t>
        </is>
      </c>
    </row>
    <row r="61" ht="126" customHeight="1">
      <c r="A61" s="1">
        <f>ROW()-1</f>
        <v/>
      </c>
      <c r="B61" s="1" t="n">
        <v>2025</v>
      </c>
      <c r="C61" s="1" t="n">
        <v>1</v>
      </c>
      <c r="D61" s="1" t="inlineStr">
        <is>
          <t>小論文</t>
        </is>
      </c>
      <c r="E61" s="1" t="inlineStr">
        <is>
          <t>「障害者差別解消法にある合理的配慮について、聞こえない・聞こえにくい人が必要とすることは何ですか」</t>
        </is>
      </c>
      <c r="F61" s="1" t="n"/>
      <c r="G61" s="1" t="n"/>
      <c r="H61" s="11" t="inlineStr">
        <is>
          <t>- 序論（導入）
  - 法律やテーマの概要を簡潔に説明する
  - 例：「障害者差別解消法では、障害のある人が平等に社会参加できるよう『合理的配慮』を行うことが求められている。」
- 本論① 課題提示
  - 聞こえない・聞こえにくい人が直面する困難を示す
  - 情報にアクセスできない（会議、医療、災害時など）
  - 周囲との意思疎通が難しい場面がある
- 本論② 具体的な合理的配慮
  - 手話通訳や要約筆記の配置
  - 動画や会議での字幕・キャプションの整備
  - 病院や行政機関での筆談ボードやタブレット入力
  - 緊急時の映像通話やリアルタイム字幕サービス
- 本論③ 社会的意義
  - 合理的配慮は障害者だけの特別扱いではない
  - 高齢者や外国人にとっても有益
  - 結果として「ユニバーサルデザイン社会」に近づく
- 結論（まとめ）
  - 聞こえない人にとって合理的配慮とは「情報への平等なアクセス」
  - これを整えることで誰もが安心して生活できる共生社会の実現につながる</t>
        </is>
      </c>
      <c r="I61" s="1" t="inlineStr">
        <is>
          <t>KatsuoShuwaDoga</t>
        </is>
      </c>
    </row>
    <row r="62" ht="126" customHeight="1">
      <c r="A62" s="1">
        <f>ROW()-1</f>
        <v/>
      </c>
      <c r="B62" s="1" t="n">
        <v>2022</v>
      </c>
      <c r="C62" s="1" t="n">
        <v>1</v>
      </c>
      <c r="D62" s="1" t="inlineStr">
        <is>
          <t>小論文</t>
        </is>
      </c>
      <c r="E62" s="1" t="inlineStr">
        <is>
          <t>「聴覚障害者が、さまざまな分野で社会参加するためにどのようなことが必要だと思いますか。」</t>
        </is>
      </c>
      <c r="F62" s="1" t="n"/>
      <c r="G62" s="1" t="n"/>
      <c r="H62" s="11" t="inlineStr">
        <is>
          <t>- 序論（導入）
  - 聴覚障害者の社会参加の意義を述べる
  - 例：「誰もが能力を発揮できる社会の実現には、聴覚障害者がさまざまな分野に参加できる環境整備が必要である。」
- 本論① 課題提示
  - 情報へのアクセスが十分に保障されていない
  - 教育・就労・医療・行政などでコミュニケーションの壁が存在する
  - 偏見や理解不足により参加の機会が制限される場合がある
- 本論② 必要な取り組み
  - 情報保障：手話通訳、要約筆記、字幕、ICTを活用した支援
  - 教育の充実：聴覚障害児へのバリアフリーな教育環境、専門支援員の配置
  - 就労支援：職場での合理的配慮、職業訓練や相談体制の整備
  - 社会の理解促進：手話言語法の周知、障害理解の啓発活動
- 本論③ 社会的意義
  - 聴覚障害者の社会参加は、個人の自立と尊厳を守るだけでなく、多様性を尊重する社会を実現する
  - 共生社会の推進は、結果的に誰にとっても住みやすい環境づくりにつながる
- 結論（まとめ）
  - 聴覚障害者が社会参加するためには、情報保障と環境整備、そして社会の理解が不可欠である
  - それらを進めることが、多様性を尊重する豊かな社会の実現につながる</t>
        </is>
      </c>
      <c r="I62" s="1" t="inlineStr">
        <is>
          <t>KatsuoShuwaDoga</t>
        </is>
      </c>
    </row>
    <row r="63" ht="157.5" customHeight="1">
      <c r="A63" s="1">
        <f>ROW()-1</f>
        <v/>
      </c>
      <c r="B63" s="1" t="n">
        <v>2021</v>
      </c>
      <c r="C63" s="1" t="n">
        <v>1</v>
      </c>
      <c r="D63" s="1" t="inlineStr">
        <is>
          <t>小論文</t>
        </is>
      </c>
      <c r="E63" s="1" t="inlineStr">
        <is>
          <t>「「共生社会」という言葉がよく使われています。聴覚障害者が暮らしやすい社会になるために必要と考えることを述べてください。」</t>
        </is>
      </c>
      <c r="F63" s="1" t="n"/>
      <c r="G63" s="1" t="n"/>
      <c r="H63" s="11" t="inlineStr">
        <is>
          <t>- 序論（導入）
  - 「共生社会」の意味を簡潔に説明する
  - 例：「共生社会とは、障害の有無にかかわらず誰もが互いを尊重し合い、共に生きる社会を指す。」
- 本論① 現状の課題
  - 情報保障が不十分で、行政・教育・医療・就労などで壁がある
  - 社会全体の理解不足や偏見が依然として存在する
  - 緊急時や災害時に必要な情報が届きにくいという課題もある
- 本論② 必要な取り組み
  - 情報アクセスの整備：手話通訳、字幕、ICTを活用した情報保障
  - 法制度の充実：手話言語法の普及、障害者差別解消法の実効性強化
  - 教育と啓発：学校教育や地域活動を通じて聴覚障害への理解を深める
  - 日常生活での配慮：窓口での筆談対応、オンラインでの字幕化サービスの標準化
- 本論③ 社会的意義
  - 聴覚障害者が暮らしやすい社会は、すべての人にとって暮らしやすい社会である
  - 多様性を尊重する文化が根づけば、国際的にも成熟した社会といえる
- 結論（まとめ）
  - 聴覚障害者が暮らしやすい共生社会を実現するためには、情報保障の徹底と社会の理解促進が不可欠である
  - 共生社会の実現は、誰もが安心して暮らせる未来につながる</t>
        </is>
      </c>
      <c r="I63" s="1" t="inlineStr">
        <is>
          <t>KatsuoShuwaDoga</t>
        </is>
      </c>
    </row>
    <row r="64" ht="126" customHeight="1">
      <c r="A64" s="1">
        <f>ROW()-1</f>
        <v/>
      </c>
      <c r="B64" s="1" t="n">
        <v>2020</v>
      </c>
      <c r="C64" s="1" t="n">
        <v>1</v>
      </c>
      <c r="D64" s="1" t="inlineStr">
        <is>
          <t>小論文</t>
        </is>
      </c>
      <c r="E64" s="1" t="inlineStr">
        <is>
          <t>「新しい手話の創作と普及について、あなたの考えを述べてください。」</t>
        </is>
      </c>
      <c r="F64" s="1" t="n"/>
      <c r="G64" s="1" t="n"/>
      <c r="H64" s="11" t="inlineStr">
        <is>
          <t>- 序論（導入）
  - 手話は時代や社会の変化に応じて新しい語彙が生まれる言語であることを述べる
  - 例：「新しい概念や技術が生まれる現代において、手話にも新しい表現を創作し普及させることが必要である。」
- 本論① 新しい手話が必要となる背景
  - 科学技術や社会制度の進展に伴い、新しい用語が次々登場している
  - 既存の手話では対応できない言葉が増えている
  - 情報格差を防ぐためにタイムリーな創作が求められる
- 本論② 新しい手話の創作における課題
  - 地域ごとの表現差や混乱の可能性
  - ろう者自身が主体的に創作に関わる必要
  - 視覚的にわかりやすく、使いやすい表現でなければ普及しにくい
- 本論③ 普及の方法
  - 全日本ろうあ連盟や研究機関を通じた標準化
  - 教育現場や手話講習会での積極的な活用
  - ICTやSNSを使った動画配信による広報
  - ろう者と聴者が協力して新しい手話を共有する仕組みづくり
- 本論④ 社会的意義
  - 新しい手話が普及することで、ろう者が新しい情報に平等にアクセスできる
  - 手話の進化は言語としての豊かさを示すものであり、社会の多様性を支える力になる
- 結論（まとめ）
  - 新しい手話の創作と普及は、ろう者の情報保障と社会参加を確実にするために不可欠である
  - ろう者が主体となり、社会全体で支える仕組みを整えることが重要である</t>
        </is>
      </c>
      <c r="I64" s="1" t="inlineStr">
        <is>
          <t>KatsuoShuwaDoga</t>
        </is>
      </c>
    </row>
    <row r="65" ht="378" customHeight="1">
      <c r="A65" s="1">
        <f>ROW()-1</f>
        <v/>
      </c>
      <c r="B65" s="1" t="n">
        <v>2019</v>
      </c>
      <c r="C65" s="1" t="n">
        <v>1</v>
      </c>
      <c r="D65" s="1" t="inlineStr">
        <is>
          <t>小論文</t>
        </is>
      </c>
      <c r="E65" s="1" t="inlineStr">
        <is>
          <t>「聴覚障害者の雇用について、あなたの考えを書いてください。」</t>
        </is>
      </c>
      <c r="F65" s="1" t="n"/>
      <c r="G65" s="1" t="n"/>
      <c r="H65" s="11" t="inlineStr">
        <is>
          <t>- 序論（導入）
  - 雇用は自立と社会参加の基盤であることを示す
  - 例：「聴覚障害者が働きやすい環境を整えることは、本人の自立を支えるだけでなく、多様性を尊重する社会を築くうえで重要である。」
- 本論① 現状の課題
  - コミュニケーション面の壁（会議・電話応対・接客など）
  - 周囲の理解不足や合理的配慮の欠如
  - 雇用機会が限られ、職種が偏りがち
- 本論② 必要な配慮・取り組み
  - 情報保障：会議での手話通訳・要約筆記・字幕ツールの導入
  - 業務設計：電話業務を分担するなど、職務の合理的調整
  - 職場啓発：同僚への障害理解研修、手話講習の実施
  - ICT活用：チャットやメール、字幕生成アプリによるコミュニケーション支援
- 本論③ 社会的意義
  - 聴覚障害者の雇用は多様な視点をもたらし、組織の活性化につながる
  - 「働けるのに働けない」という状況を減らすことは人材不足解消にも貢献
  - 合理的配慮は他の従業員にとっても働きやすい環境をつくる
- 結論（まとめ）
  - 聴覚障害者の雇用促進には、情報保障と職場の理解促進が不可欠である
  - 働きやすい環境を整えることは、個人の自立と社会全体の持続的発展に結びつく</t>
        </is>
      </c>
      <c r="I65" s="1" t="inlineStr">
        <is>
          <t>KatsuoShuwaDoga</t>
        </is>
      </c>
    </row>
    <row r="66" ht="409.5" customHeight="1">
      <c r="A66" s="1">
        <f>ROW()-1</f>
        <v/>
      </c>
      <c r="B66" s="1" t="n">
        <v>2018</v>
      </c>
      <c r="C66" s="1" t="n">
        <v>1</v>
      </c>
      <c r="D66" s="1" t="inlineStr">
        <is>
          <t>小論文</t>
        </is>
      </c>
      <c r="E66" s="1" t="inlineStr">
        <is>
          <t>「障害のある人が暮らしやすい社会の実現のために何が必要だと考えますか。あなたの考えを述べてください。」</t>
        </is>
      </c>
      <c r="F66" s="1" t="n"/>
      <c r="G66" s="1" t="n"/>
      <c r="H66" s="11" t="inlineStr">
        <is>
          <t>- 序論（導入）
  - 障害の有無にかかわらず誰もが安心して暮らせる社会の重要性を示す
  - 例：「障害のある人が暮らしやすい社会は、すべての人にとって安心できる社会である。」
- 本論① 現状の課題
  - 情報やサービスへのアクセスに格差がある
  - 移動や施設利用に物理的バリアが残っている
  - 偏見や無理解により、社会参加の機会が制限されることがある
- 本論② 必要な取り組み
  - 情報保障：字幕、手話通訳、読み上げ機能など多様な支援
  - バリアフリー：段差解消、点字ブロック、ユニバーサルトイレの整備
  - 法制度：障害者差別解消法や合理的配慮の徹底
  - 教育と啓発：障害理解を深める授業や地域活動での交流
  - ICT活用：テクノロジーを用いたコミュニケーション支援や在宅ワーク推進
- 本論③ 社会的意義
  - 障害者が安心して暮らせる社会は、子ども、高齢者、外国人など多様な人にとっても暮らしやすい
  - 共生社会の実現は、社会の成熟度を高め、国際的にも評価される
- 結論（まとめ）
  - 障害のある人が暮らしやすい社会に必要なのは、情報・環境・制度の三本柱である
  - それを社会全体で支えることで、誰もが共に生きやすい未来が実現する</t>
        </is>
      </c>
      <c r="I66" s="1" t="inlineStr">
        <is>
          <t>KatsuoShuwaDoga</t>
        </is>
      </c>
    </row>
    <row r="67" ht="409.5" customHeight="1">
      <c r="A67" s="1">
        <f>ROW()-1</f>
        <v/>
      </c>
      <c r="B67" s="1" t="n">
        <v>2017</v>
      </c>
      <c r="C67" s="1" t="n">
        <v>1</v>
      </c>
      <c r="D67" s="1" t="inlineStr">
        <is>
          <t>小論文</t>
        </is>
      </c>
      <c r="E67" s="1" t="inlineStr">
        <is>
          <t>「障害者差別解消法が施行されて一年半が過ぎましたが、障害者の暮らしはどのように変わりましたか。また変わってほしいですか。あなたの考えを書いてください。」</t>
        </is>
      </c>
      <c r="F67" s="1" t="n"/>
      <c r="G67" s="1" t="n"/>
      <c r="H67" s="11" t="inlineStr">
        <is>
          <t>- 序論（導入）
  - 障害者差別解消法の目的を簡潔に示す
  - 例：「障害者差別解消法は、障害を理由とする不当な差別を禁止し、合理的配慮を社会に根づかせるために制定された。」
- 本論① 現状の変化
  - 行政機関や企業で合理的配慮への理解が進み、窓口対応やサービスが改善されつつある
  - 学校や地域での障害理解教育が広がり、意識啓発の機会が増えている
  - ICT活用による情報保障（字幕や読み上げソフトなど）が以前より普及
- 本論② まだ残る課題
  - 合理的配慮の提供が事業者によって差がある
  - 障害者自身が声を上げにくい状況がある
  - 法律の存在が十分に周知されておらず、一般社会に浸透していない
  - 災害時や緊急時など、命に直結する場面での対応はまだ不十分
- 本論③ 今後の方向性（変わってほしい点）
  - 障害者本人のニーズを尊重した柔軟な配慮が当たり前になる社会
  - 教育や地域活動を通じて、障害理解が日常レベルで深まること
  - 行政・企業・市民が一体となって共生社会を築く流れの強化
  - ICTやAIを活用した新しい合理的配慮の拡大
- 結論（まとめ）
  - 障害者差別解消法の施行は確かな変化を生んでいるが、まだ道半ばである
  - 今後は法律を形式的に守る段階から、社会全体で障害者の視点を共有する段階へ進む必要がある</t>
        </is>
      </c>
      <c r="I67" s="1" t="inlineStr">
        <is>
          <t>KatsuoShuwaDoga</t>
        </is>
      </c>
    </row>
    <row r="68" ht="409.5" customHeight="1">
      <c r="A68" s="1">
        <f>ROW()-1</f>
        <v/>
      </c>
      <c r="B68" s="1" t="n">
        <v>2016</v>
      </c>
      <c r="C68" s="1" t="n">
        <v>1</v>
      </c>
      <c r="D68" s="1" t="inlineStr">
        <is>
          <t>小論文</t>
        </is>
      </c>
      <c r="E68" s="1" t="inlineStr">
        <is>
          <t>「今年の４月から障害者差別解消法が施行されましたが、聞こえない人が社会の中で暮らすためにどのような環境になればよいと思いますか。あなたの考えを書いてください。」</t>
        </is>
      </c>
      <c r="F68" s="1" t="n"/>
      <c r="G68" s="1" t="n"/>
      <c r="H68" s="11" t="inlineStr">
        <is>
          <t>- 序論（導入）
  - 法律の施行を契機に、社会全体が変化を求められていることを示す
  - 例：「障害者差別解消法の施行は、聞こえない人が社会で安心して暮らす環境を整えるための大きな一歩である。」
- 本論① 現状の課題
  - 行政や医療の場で情報が十分に保障されていない
  - 学校や職場での配慮が一部にとどまっている
  - 社会全体の理解不足や偏見が依然として存在する
- 本論② 必要な環境整備
  - 情報保障：手話通訳や要約筆記、字幕サービスをあらゆる場面で利用可能にする
  - 公共機関・医療機関：窓口での筆談やタブレット対応を標準化
  - 災害・緊急時：映像通話や緊急速報の字幕化など、命を守る情報提供体制
  - ICTの活用：自動字幕・翻訳アプリなどを導入し、コミュニケーションの壁を減らす
- 本論③ 社会的意義
  - 聞こえない人の生活の質が向上し、自立と社会参加が進む
  - 配慮や技術は高齢者や外国人など他の人にも有益
  - 社会全体が「共生社会」に近づく
- 結論（まとめ）
  - 聞こえない人が暮らしやすい環境とは「いつでもどこでも情報にアクセスでき、安心して人とつながれる社会」である
  - 法律をきっかけに、社会全体が理解と実践を進めることが重要である</t>
        </is>
      </c>
      <c r="I68" s="1" t="inlineStr">
        <is>
          <t>KatsuoShuwaDoga</t>
        </is>
      </c>
    </row>
    <row r="69" ht="409.5" customHeight="1">
      <c r="A69" s="1">
        <f>ROW()-1</f>
        <v/>
      </c>
      <c r="B69" s="1" t="n">
        <v>2015</v>
      </c>
      <c r="C69" s="1" t="n">
        <v>1</v>
      </c>
      <c r="D69" s="1" t="inlineStr">
        <is>
          <t>小論文</t>
        </is>
      </c>
      <c r="E69" s="1" t="inlineStr">
        <is>
          <t>「あなたの会社（学校・クラス）に聴覚障害のある人が入ってきました。この聴覚障害者が快適に仕事（学校）をするために、どのような配慮が必要と考えるか述べてください。」</t>
        </is>
      </c>
      <c r="F69" s="1" t="n"/>
      <c r="G69" s="1" t="n"/>
      <c r="H69" s="11" t="inlineStr">
        <is>
          <t>- 序論（導入）
  - 新しい仲間が加わる場面を想定し、配慮の必要性を示す
  - 例：「職場や学校に聴覚障害のある人が入ってきたとき、周囲の理解と配慮があれば、その人が力を発揮しやすくなる。」
- 本論① 情報保障の配慮
  - 会議や授業での手話通訳・要約筆記・字幕表示の用意
  - チャットツールやホワイトボードを使った文字による共有
  - 音声のみの連絡を避け、文書やメールを活用する
- 本論② コミュニケーション環境の工夫
  - 顔を見て話す、はっきりした口の動きで話す
  - 話す前に名前を呼んで注意を向ける
  - グループ作業や雑談でも、全員が意識して情報を伝える
- 本論③ 職場・学校環境での制度的配慮
  - 職務や授業内容を柔軟に調整し、不得手な部分はチームで補う
  - 研修や授業で障害理解を促す活動を行う
  - ICTの導入（自動字幕・翻訳アプリなど）で日常的に支援する
- 本論④ 社会的意義
  - 聴覚障害者が快適に働き・学べる環境は、他の人にとっても働きやすく学びやすい環境になる
  - 多様性を尊重する文化が根づくことで、組織全体が活性化する
- 結論（まとめ）
  - 必要なのは「情報保障」「コミュニケーションの工夫」「制度的な配慮」の三点である
  - これらを整えることで、聴覚障害者が快適に活動でき、共に成長する環境が実現する</t>
        </is>
      </c>
      <c r="I69" s="1" t="inlineStr">
        <is>
          <t>KatsuoShuwaDoga</t>
        </is>
      </c>
    </row>
    <row r="70" ht="409.5" customHeight="1">
      <c r="A70">
        <f>ROW()-1</f>
        <v/>
      </c>
      <c r="B70" t="inlineStr">
        <is>
          <t>模擬A</t>
        </is>
      </c>
      <c r="C70" t="n">
        <v>2</v>
      </c>
      <c r="D70" t="inlineStr">
        <is>
          <t>4択問題</t>
        </is>
      </c>
      <c r="E70" t="inlineStr">
        <is>
          <t>音の高さを表す単位はどれですか。</t>
        </is>
      </c>
      <c r="F70" t="inlineStr">
        <is>
          <t>1. ヘルツ
2. デシベル
3. ワット
4. ルクス</t>
        </is>
      </c>
      <c r="G70" t="n">
        <v>1</v>
      </c>
      <c r="H70" t="inlineStr">
        <is>
          <t>1. ヘルツ。音の高さ（周波数）はヘルツ（Hz）で表します。音の大きさ（強さ）を表すデシベル（dB）と混同しやすいので注意しましょう。</t>
        </is>
      </c>
    </row>
    <row r="71" ht="409.5" customHeight="1">
      <c r="A71">
        <f>ROW()-1</f>
        <v/>
      </c>
      <c r="B71" t="inlineStr">
        <is>
          <t>模擬A</t>
        </is>
      </c>
      <c r="C71" t="n">
        <v>2</v>
      </c>
      <c r="D71" t="inlineStr">
        <is>
          <t>4択問題</t>
        </is>
      </c>
      <c r="E71" t="inlineStr">
        <is>
          <t>音の3要素は「大きさ」「高さ」と、あと1つはどれですか。</t>
        </is>
      </c>
      <c r="F71" t="inlineStr">
        <is>
          <t>1. 速さ
2. 長さ
3. 音色
4. 響き</t>
        </is>
      </c>
      <c r="G71" t="n">
        <v>3</v>
      </c>
      <c r="H71" t="inlineStr">
        <is>
          <t>3. 音色。音の3要素は「大きさ（強さ）」「高さ」「音色」です。</t>
        </is>
      </c>
    </row>
    <row r="72" ht="409.5" customHeight="1">
      <c r="A72">
        <f>ROW()-1</f>
        <v/>
      </c>
      <c r="B72" t="inlineStr">
        <is>
          <t>模擬A</t>
        </is>
      </c>
      <c r="C72" t="n">
        <v>2</v>
      </c>
      <c r="D72" t="inlineStr">
        <is>
          <t>4択問題</t>
        </is>
      </c>
      <c r="E72" t="inlineStr">
        <is>
          <t>聴覚障害者を支援するために訓練された身体障害者補助犬はどれですか。</t>
        </is>
      </c>
      <c r="F72" t="inlineStr">
        <is>
          <t>1. 盲導犬
2. 介助犬
3. 聴導犬
4. 警察犬</t>
        </is>
      </c>
      <c r="G72" t="n">
        <v>3</v>
      </c>
      <c r="H72" t="inlineStr">
        <is>
          <t>3. 聴導犬。身体障害者補助犬法に定められた補助犬は盲導犬・介助犬・聴導犬の3種類で、聴導犬はチャイムや警報音などの生活音を聴覚障害者に知らせます。</t>
        </is>
      </c>
    </row>
    <row r="73" ht="409.5" customHeight="1">
      <c r="A73">
        <f>ROW()-1</f>
        <v/>
      </c>
      <c r="B73" t="inlineStr">
        <is>
          <t>模擬A</t>
        </is>
      </c>
      <c r="C73" t="n">
        <v>2</v>
      </c>
      <c r="D73" t="inlineStr">
        <is>
          <t>4択問題</t>
        </is>
      </c>
      <c r="E73" t="inlineStr">
        <is>
          <t>聞こえが不自由なことを表し、聴覚障害者が支援や配慮を必要としていることを周囲に示すマークはどれですか。</t>
        </is>
      </c>
      <c r="F73" t="inlineStr">
        <is>
          <t>1. 耳マーク
2. ハートプラスマーク
3. ヘルプマーク
4. オストメイトマーク</t>
        </is>
      </c>
      <c r="G73" t="n">
        <v>1</v>
      </c>
      <c r="H73" t="inlineStr">
        <is>
          <t>1. 耳マーク。耳の形をデザインしたマークで、聞こえない・聞こえにくい人が「耳が不自由です」と示したり、窓口などで筆談対応ができることを示すのに使われます。</t>
        </is>
      </c>
    </row>
    <row r="74">
      <c r="A74">
        <f>ROW()-1</f>
        <v/>
      </c>
      <c r="B74" t="inlineStr">
        <is>
          <t>模擬A</t>
        </is>
      </c>
      <c r="C74" t="n">
        <v>2</v>
      </c>
      <c r="D74" t="inlineStr">
        <is>
          <t>4択問題</t>
        </is>
      </c>
      <c r="E74" t="inlineStr">
        <is>
          <t>補聴器や人工内耳の受信機能を利用して、磁気によって音声を直接届ける聴覚支援設備はどれですか。</t>
        </is>
      </c>
      <c r="F74" t="inlineStr">
        <is>
          <t>1. ヒアリングループ（磁気誘導ループ）
2. スピーカー
3. 集音器
4. 骨伝導イヤホン</t>
        </is>
      </c>
      <c r="G74" t="n">
        <v>1</v>
      </c>
      <c r="H74" t="inlineStr">
        <is>
          <t>1. ヒアリングループ（磁気誘導ループ）。床などに敷設したループ状のアンテナから磁気信号を送り、対応する補聴器等で雑音の少ない音声を聞くことができる設備で、公共施設などに設置が進んでいます。</t>
        </is>
      </c>
    </row>
    <row r="75">
      <c r="A75">
        <f>ROW()-1</f>
        <v/>
      </c>
      <c r="B75" t="inlineStr">
        <is>
          <t>模擬A</t>
        </is>
      </c>
      <c r="C75" t="n">
        <v>2</v>
      </c>
      <c r="D75" t="inlineStr">
        <is>
          <t>4択問題</t>
        </is>
      </c>
      <c r="E75" t="inlineStr">
        <is>
          <t>全日本ろうあ連盟が結成された年はいつですか。</t>
        </is>
      </c>
      <c r="F75" t="inlineStr">
        <is>
          <t>1. 1947年
2. 1955年
3. 1964年
4. 1981年</t>
        </is>
      </c>
      <c r="G75" t="n">
        <v>1</v>
      </c>
      <c r="H75" t="inlineStr">
        <is>
          <t>1. 1947年。全日本ろうあ連盟は1947（昭和22）年に群馬県伊香保温泉で結成された、全国のろう者の当事者団体です。</t>
        </is>
      </c>
    </row>
    <row r="76">
      <c r="A76">
        <f>ROW()-1</f>
        <v/>
      </c>
      <c r="B76" t="inlineStr">
        <is>
          <t>模擬A</t>
        </is>
      </c>
      <c r="C76" t="n">
        <v>2</v>
      </c>
      <c r="D76" t="inlineStr">
        <is>
          <t>4択問題</t>
        </is>
      </c>
      <c r="E76" t="inlineStr">
        <is>
          <t>第1回デフリンピック（当時は国際ろう者競技大会）が1924年に開催された都市はどこですか。</t>
        </is>
      </c>
      <c r="F76" t="inlineStr">
        <is>
          <t>1. ロンドン
2. パリ
3. ローマ
4. ベルリン</t>
        </is>
      </c>
      <c r="G76" t="n">
        <v>2</v>
      </c>
      <c r="H76" t="inlineStr">
        <is>
          <t>2. パリ。第1回大会は1924年にフランスのパリで開催されました。2025年には開催100周年の節目に、日本初開催となる東京大会が行われました。</t>
        </is>
      </c>
    </row>
    <row r="77">
      <c r="A77">
        <f>ROW()-1</f>
        <v/>
      </c>
      <c r="B77" t="inlineStr">
        <is>
          <t>模擬A</t>
        </is>
      </c>
      <c r="C77" t="n">
        <v>2</v>
      </c>
      <c r="D77" t="inlineStr">
        <is>
          <t>4択問題</t>
        </is>
      </c>
      <c r="E77" t="inlineStr">
        <is>
          <t>日本が国連の障害者権利条約を批准した年はいつですか。</t>
        </is>
      </c>
      <c r="F77" t="inlineStr">
        <is>
          <t>1. 2006年
2. 2011年
3. 2014年
4. 2020年</t>
        </is>
      </c>
      <c r="G77" t="n">
        <v>3</v>
      </c>
      <c r="H77" t="inlineStr">
        <is>
          <t>3. 2014年。障害者権利条約は2006年に国連総会で採択され、日本は障害者基本法改正や障害者差別解消法制定など国内法を整備した上で2014（平成26）年に批准しました。</t>
        </is>
      </c>
    </row>
    <row r="78">
      <c r="A78">
        <f>ROW()-1</f>
        <v/>
      </c>
      <c r="B78" t="inlineStr">
        <is>
          <t>模擬A</t>
        </is>
      </c>
      <c r="C78" t="n">
        <v>2</v>
      </c>
      <c r="D78" t="inlineStr">
        <is>
          <t>4択問題</t>
        </is>
      </c>
      <c r="E78" t="inlineStr">
        <is>
          <t>障害者差別解消法が施行された年はいつですか。</t>
        </is>
      </c>
      <c r="F78" t="inlineStr">
        <is>
          <t>1. 2011年
2. 2013年
3. 2016年
4. 2021年</t>
        </is>
      </c>
      <c r="G78" t="n">
        <v>3</v>
      </c>
      <c r="H78" t="inlineStr">
        <is>
          <t>3. 2016年。障害者差別解消法は2013（平成25）年に成立し、2016（平成28）年4月に施行されました。不当な差別的取扱いの禁止と合理的配慮の提供を定めています。</t>
        </is>
      </c>
    </row>
    <row r="79">
      <c r="A79">
        <f>ROW()-1</f>
        <v/>
      </c>
      <c r="B79" t="inlineStr">
        <is>
          <t>模擬A</t>
        </is>
      </c>
      <c r="C79" t="n">
        <v>2</v>
      </c>
      <c r="D79" t="inlineStr">
        <is>
          <t>4択問題</t>
        </is>
      </c>
      <c r="E79" t="inlineStr">
        <is>
          <t>改正障害者差別解消法により、2024年4月から民間事業者に義務化されたものはどれですか。</t>
        </is>
      </c>
      <c r="F79" t="inlineStr">
        <is>
          <t>1. 合理的配慮の提供
2. 障害者の優先雇用
3. 手話通訳者の常駐
4. バリアフリー工事</t>
        </is>
      </c>
      <c r="G79" t="n">
        <v>1</v>
      </c>
      <c r="H79" t="inlineStr">
        <is>
          <t>1. 合理的配慮の提供。それまで民間事業者は努力義務でしたが、2021年の法改正（2024年4月施行）により合理的配慮の提供が法的義務となりました。</t>
        </is>
      </c>
    </row>
    <row r="80">
      <c r="A80">
        <f>ROW()-1</f>
        <v/>
      </c>
      <c r="B80" t="inlineStr">
        <is>
          <t>模擬A</t>
        </is>
      </c>
      <c r="C80" t="n">
        <v>2</v>
      </c>
      <c r="D80" t="inlineStr">
        <is>
          <t>4択問題</t>
        </is>
      </c>
      <c r="E80" t="inlineStr">
        <is>
          <t>年齢や障害の有無にかかわらず、最初から誰もが使いやすいように製品や環境を設計する考え方はどれですか。</t>
        </is>
      </c>
      <c r="F80" t="inlineStr">
        <is>
          <t>1. バリアフリー
2. ユニバーサルデザイン
3. リハビリテーション
4. アクセシビリティ</t>
        </is>
      </c>
      <c r="G80" t="n">
        <v>2</v>
      </c>
      <c r="H80" t="inlineStr">
        <is>
          <t>2. ユニバーサルデザイン。既にある障壁を取り除くバリアフリーに対し、ユニバーサルデザインは初めから障壁を作らない設計思想です。</t>
        </is>
      </c>
    </row>
    <row r="81">
      <c r="A81">
        <f>ROW()-1</f>
        <v/>
      </c>
      <c r="B81" t="inlineStr">
        <is>
          <t>模擬A</t>
        </is>
      </c>
      <c r="C81" t="n">
        <v>2</v>
      </c>
      <c r="D81" t="inlineStr">
        <is>
          <t>4択問題</t>
        </is>
      </c>
      <c r="E81" t="inlineStr">
        <is>
          <t>「障害のある人もない人も同じように当たり前の生活を送れる社会こそ正常な社会である」というノーマライゼーションの理念を提唱したバンク・ミケルセンの出身国はどこですか。</t>
        </is>
      </c>
      <c r="F81" t="inlineStr">
        <is>
          <t>1. スウェーデン
2. デンマーク
3. アメリカ
4. イギリス</t>
        </is>
      </c>
      <c r="G81" t="n">
        <v>2</v>
      </c>
      <c r="H81" t="inlineStr">
        <is>
          <t>2. デンマーク。バンク・ミケルセンはデンマークの行政官で、1950年代に知的障害者の親の会の運動を通じてノーマライゼーションの理念を提唱しました。</t>
        </is>
      </c>
    </row>
    <row r="82">
      <c r="A82">
        <f>ROW()-1</f>
        <v/>
      </c>
      <c r="B82" t="inlineStr">
        <is>
          <t>模擬A</t>
        </is>
      </c>
      <c r="C82" t="n">
        <v>2</v>
      </c>
      <c r="D82" t="inlineStr">
        <is>
          <t>4択問題</t>
        </is>
      </c>
      <c r="E82" t="inlineStr">
        <is>
          <t>「聴覚障害者等による電話の利用の円滑化に関する法律」が成立し、電話リレーサービスが公共インフラとして制度化された年はいつですか。</t>
        </is>
      </c>
      <c r="F82" t="inlineStr">
        <is>
          <t>1. 2013年
2. 2016年
3. 2020年
4. 2024年</t>
        </is>
      </c>
      <c r="G82" t="n">
        <v>3</v>
      </c>
      <c r="H82" t="inlineStr">
        <is>
          <t>3. 2020年。同法は2020（令和2）年6月に成立し、2021（令和3）年7月から公共インフラとしての電話リレーサービスが開始されました。</t>
        </is>
      </c>
    </row>
    <row r="83">
      <c r="A83">
        <f>ROW()-1</f>
        <v/>
      </c>
      <c r="B83" t="inlineStr">
        <is>
          <t>模擬A</t>
        </is>
      </c>
      <c r="C83" t="n">
        <v>2</v>
      </c>
      <c r="D83" t="inlineStr">
        <is>
          <t>4択問題</t>
        </is>
      </c>
      <c r="E83" t="inlineStr">
        <is>
          <t>日本で最初のろう学校といわれる京都盲唖院が設立された年はいつですか。</t>
        </is>
      </c>
      <c r="F83" t="inlineStr">
        <is>
          <t>1. 1868年
2. 1878年
3. 1898年
4. 1908年</t>
        </is>
      </c>
      <c r="G83" t="n">
        <v>2</v>
      </c>
      <c r="H83" t="inlineStr">
        <is>
          <t>2. 1878年。京都盲唖院は1878（明治11）年に古河太四郎らによって設立された、日本で最初のろう学校といわれています。</t>
        </is>
      </c>
    </row>
    <row r="84">
      <c r="A84">
        <f>ROW()-1</f>
        <v/>
      </c>
      <c r="B84" t="inlineStr">
        <is>
          <t>模擬A</t>
        </is>
      </c>
      <c r="C84" t="n">
        <v>2</v>
      </c>
      <c r="D84" t="inlineStr">
        <is>
          <t>4択問題</t>
        </is>
      </c>
      <c r="E84" t="inlineStr">
        <is>
          <t>手話通訳士の資格認定試験（手話通訳技能認定試験）を実施している機関はどれですか。</t>
        </is>
      </c>
      <c r="F84" t="inlineStr">
        <is>
          <t>1. 聴力障害者情報文化センター
2. 全国手話研修センター
3. 日本財団
4. 国立障害者リハビリテーションセンター</t>
        </is>
      </c>
      <c r="G84" t="n">
        <v>1</v>
      </c>
      <c r="H84" t="inlineStr">
        <is>
          <t>1. 聴力障害者情報文化センター。手話通訳士試験は厚生労働大臣認定の資格試験で、社会福祉法人聴力障害者情報文化センターが実施しています。</t>
        </is>
      </c>
    </row>
    <row r="85">
      <c r="A85">
        <f>ROW()-1</f>
        <v/>
      </c>
      <c r="B85" t="inlineStr">
        <is>
          <t>模擬A</t>
        </is>
      </c>
      <c r="C85" t="n">
        <v>2</v>
      </c>
      <c r="D85" t="inlineStr">
        <is>
          <t>4択問題</t>
        </is>
      </c>
      <c r="E85" t="inlineStr">
        <is>
          <t>視覚と聴覚の両方に障害のある盲ろう者が、相手の手話の手の形や動きに触れて読み取るコミュニケーション方法はどれですか。</t>
        </is>
      </c>
      <c r="F85" t="inlineStr">
        <is>
          <t>1. 触手話
2. 読話
3. 空書
4. 筆談</t>
        </is>
      </c>
      <c r="G85" t="n">
        <v>1</v>
      </c>
      <c r="H85" t="inlineStr">
        <is>
          <t>1. 触手話。盲ろう者が相手の手に触れて手話を読み取る方法です。ほかに盲ろう者のコミュニケーション手段には指点字などがあります。</t>
        </is>
      </c>
    </row>
    <row r="86">
      <c r="A86">
        <f>ROW()-1</f>
        <v/>
      </c>
      <c r="B86" t="inlineStr">
        <is>
          <t>模擬A</t>
        </is>
      </c>
      <c r="C86" t="n">
        <v>2</v>
      </c>
      <c r="D86" t="inlineStr">
        <is>
          <t>4択問題</t>
        </is>
      </c>
      <c r="E86" t="inlineStr">
        <is>
          <t>世界ろう連盟の会議やデフリンピックなど、国際的な交流の場で主に使われる手話はどれですか。</t>
        </is>
      </c>
      <c r="F86" t="inlineStr">
        <is>
          <t>1. アメリカ手話
2. 国際手話
3. 日本手話
4. イギリス手話</t>
        </is>
      </c>
      <c r="G86" t="n">
        <v>2</v>
      </c>
      <c r="H86" t="inlineStr">
        <is>
          <t>2. 国際手話。手話は国や地域ごとに異なる言語ですが、国際的な場では国際手話が共通のコミュニケーション手段として使われています。</t>
        </is>
      </c>
    </row>
    <row r="87">
      <c r="A87">
        <f>ROW()-1</f>
        <v/>
      </c>
      <c r="B87" t="inlineStr">
        <is>
          <t>模擬A</t>
        </is>
      </c>
      <c r="C87" t="inlineStr">
        <is>
          <t>準1</t>
        </is>
      </c>
      <c r="D87" t="inlineStr">
        <is>
          <t>穴埋め形式</t>
        </is>
      </c>
      <c r="E87" t="inlineStr">
        <is>
          <t>手話による教育は、フランスの（ア）が1760年にパリに設立したろう学校で系統化されました。日本では1878年に（イ）らが（ウ）を設立し、これが日本で最初のろう学校といわれています。</t>
        </is>
      </c>
      <c r="F87" t="inlineStr">
        <is>
          <t>1. ド・レペ
2. グラハム・ベル
3. 古河太四郎
4. 大久保利通
5. 京都盲唖院
6. 東京聾唖学校
7. 筑波技術大学
8. 全国手話研修センター</t>
        </is>
      </c>
      <c r="G87" t="inlineStr">
        <is>
          <t>1,3,5</t>
        </is>
      </c>
      <c r="H87" t="inlineStr">
        <is>
          <t>正答: （ア）ド・レペ（イ）古河太四郎（ウ）京都盲唖院。ド・レペは世界初の公立ろう学校をパリに設立した人物、古河太四郎は1878年に京都盲唖院を設立した日本ろう教育の先駆者です。</t>
        </is>
      </c>
    </row>
    <row r="88">
      <c r="A88">
        <f>ROW()-1</f>
        <v/>
      </c>
      <c r="B88" t="inlineStr">
        <is>
          <t>模擬A</t>
        </is>
      </c>
      <c r="C88" t="inlineStr">
        <is>
          <t>準1</t>
        </is>
      </c>
      <c r="D88" t="inlineStr">
        <is>
          <t>穴埋め形式</t>
        </is>
      </c>
      <c r="E88" t="inlineStr">
        <is>
          <t>障害者福祉制度は、2003年の（ア）の導入により行政が決定する「措置制度」から利用者が選ぶ「契約制度」へと転換しました。2006年には（イ）が施行され、2013年には（ウ）へと改正されて難病患者も支援の対象に加わりました。</t>
        </is>
      </c>
      <c r="F88" t="inlineStr">
        <is>
          <t>1. 支援費制度
2. 障害者自立支援法
3. 障害者総合支援法
4. 介護保険制度
5. 身体障害者福祉法
6. 障害者雇用促進法
7. 生活保護法
8. 児童福祉法</t>
        </is>
      </c>
      <c r="G88" t="inlineStr">
        <is>
          <t>1,2,3</t>
        </is>
      </c>
      <c r="H88" t="inlineStr">
        <is>
          <t>正答: （ア）支援費制度（イ）障害者自立支援法（ウ）障害者総合支援法。支援費制度（2003）→障害者自立支援法（2006）→障害者総合支援法（2013）という変遷を押さえましょう。</t>
        </is>
      </c>
    </row>
    <row r="89">
      <c r="A89">
        <f>ROW()-1</f>
        <v/>
      </c>
      <c r="B89" t="inlineStr">
        <is>
          <t>模擬A</t>
        </is>
      </c>
      <c r="C89" t="inlineStr">
        <is>
          <t>準1</t>
        </is>
      </c>
      <c r="D89" t="inlineStr">
        <is>
          <t>穴埋め形式</t>
        </is>
      </c>
      <c r="E89" t="inlineStr">
        <is>
          <t>障害者権利条約は2006年12月の国連総会で採択されました。日本は国内法の整備を進めた上で（ア）年に批准しました。この条約は「私たちのことを私たち抜きに決めないで」を合言葉に作られ、障害のとらえ方として（イ）の視点に立ち、手話を（ウ）として位置づけています。</t>
        </is>
      </c>
      <c r="F89" t="inlineStr">
        <is>
          <t>1. 2008
2. 2014
3. 2020
4. 医学モデル
5. 社会モデル
6. 言語
7. 福祉サービス
8. 身振り</t>
        </is>
      </c>
      <c r="G89" t="inlineStr">
        <is>
          <t>2,5,6</t>
        </is>
      </c>
      <c r="H89" t="inlineStr">
        <is>
          <t>正答: （ア）2014（イ）社会モデル（ウ）言語。日本の批准は2014（平成26）年。条約第2条では手話が言語に含まれることが明記されています。</t>
        </is>
      </c>
    </row>
    <row r="90">
      <c r="A90">
        <f>ROW()-1</f>
        <v/>
      </c>
      <c r="B90" t="inlineStr">
        <is>
          <t>模擬A</t>
        </is>
      </c>
      <c r="C90" t="inlineStr">
        <is>
          <t>準1</t>
        </is>
      </c>
      <c r="D90" t="inlineStr">
        <is>
          <t>穴埋め形式</t>
        </is>
      </c>
      <c r="E90" t="inlineStr">
        <is>
          <t>2013年10月、（ア）が全国で初めて手話言語条例を制定しました。この条例では手話を（イ）として位置づけ、手話の（ウ）に関する施策を進めることを定めています。</t>
        </is>
      </c>
      <c r="F90" t="inlineStr">
        <is>
          <t>1. 鳥取県
2. 北海道
3. 東京都
4. 言語
5. 福祉的支援の手段
6. 理解と普及
7. 資格制度
8. 届出制度</t>
        </is>
      </c>
      <c r="G90" t="inlineStr">
        <is>
          <t>1,4,6</t>
        </is>
      </c>
      <c r="H90" t="inlineStr">
        <is>
          <t>正答: （ア）鳥取県（イ）言語（ウ）理解と普及。鳥取県手話言語条例は2013年10月に成立した全国初の手話言語条例で、手話を言語として認め、普及を進めることを定めています。</t>
        </is>
      </c>
    </row>
    <row r="91">
      <c r="A91">
        <f>ROW()-1</f>
        <v/>
      </c>
      <c r="B91" t="inlineStr">
        <is>
          <t>模擬A</t>
        </is>
      </c>
      <c r="C91" t="inlineStr">
        <is>
          <t>準1</t>
        </is>
      </c>
      <c r="D91" t="inlineStr">
        <is>
          <t>穴埋め形式</t>
        </is>
      </c>
      <c r="E91" t="inlineStr">
        <is>
          <t>私たちは（ア）を使ってお互いの意思や感情を伝え合っていますが、表情や視線、身振りといった（イ）も大きな役割を果たしています。聞こえない人との会話では、話し手の口の動きから内容を読み取る（ウ）が使われることもあります。</t>
        </is>
      </c>
      <c r="F91" t="inlineStr">
        <is>
          <t>1. ことば
2. 言語コミュニケーション
3. 非言語コミュニケーション
4. 読話
5. 指文字
6. 筆談
7. 空書
8. 触手話</t>
        </is>
      </c>
      <c r="G91" t="inlineStr">
        <is>
          <t>1,3,4</t>
        </is>
      </c>
      <c r="H91" t="inlineStr">
        <is>
          <t>正答: （ア）ことば（イ）非言語コミュニケーション（ウ）読話。読話は口形から話の内容を読み取る方法ですが、正確に読み取れる割合には限界があるため、他の手段と組み合わせることが大切です。</t>
        </is>
      </c>
    </row>
    <row r="92">
      <c r="A92">
        <f>ROW()-1</f>
        <v/>
      </c>
      <c r="B92" t="inlineStr">
        <is>
          <t>模擬A</t>
        </is>
      </c>
      <c r="C92" t="inlineStr">
        <is>
          <t>準1</t>
        </is>
      </c>
      <c r="D92" t="inlineStr">
        <is>
          <t>穴埋め形式</t>
        </is>
      </c>
      <c r="E92" t="inlineStr">
        <is>
          <t>毎年12月3日から9日までは（ア）です。初日の12月3日は国連が定めた（イ）でもあります。これらは障害者の福祉についての国民の（ウ）を深めることを目的としています。</t>
        </is>
      </c>
      <c r="F92" t="inlineStr">
        <is>
          <t>1. 障害者週間
2. 人権週間
3. 国際障害者デー
4. 世界ろう者の日
5. 関心と理解
6. 監視と指導
7. 義務と責任
8. 訓練と指導</t>
        </is>
      </c>
      <c r="G92" t="inlineStr">
        <is>
          <t>1,3,5</t>
        </is>
      </c>
      <c r="H92" t="inlineStr">
        <is>
          <t>正答: （ア）障害者週間（イ）国際障害者デー（ウ）関心と理解。障害者週間は障害者基本法に基づき毎年12月3日〜9日に実施され、12月3日は国連の国際障害者デーです。</t>
        </is>
      </c>
    </row>
    <row r="93">
      <c r="A93">
        <f>ROW()-1</f>
        <v/>
      </c>
      <c r="B93" t="inlineStr">
        <is>
          <t>模擬A</t>
        </is>
      </c>
      <c r="C93" t="n">
        <v>1</v>
      </c>
      <c r="D93" t="inlineStr">
        <is>
          <t>小論文</t>
        </is>
      </c>
      <c r="E93" t="inlineStr">
        <is>
          <t>「聴覚障害者が働きやすい職場にするために、周囲の人や企業にはどのような配慮や工夫が求められると考えますか。あなたの考えを述べてください。」</t>
        </is>
      </c>
      <c r="H93" t="inlineStr">
        <is>
          <t>- 序論（導入）
  - 職場における情報保障・合理的配慮の重要性を簡潔に述べる
  - 例：「会議や朝礼など音声中心の情報共有は、聴覚障害者にとって大きな障壁となる」
- 本論（具体策）
  - 情報保障の工夫：筆談・チャットツール・音声認識アプリ・手話通訳や要約筆記の活用
  - 環境づくり：話すときは顔を見て話す、複数人が同時に話さない、視覚的な資料を用意する
  - 制度面：合理的配慮の提供義務（2024年4月から民間事業者も義務化）、社内研修や手話学習の機会
- 結論（まとめ）
  - 配慮は特別扱いではなく、誰もが力を発揮できる職場づくりにつながることを述べる</t>
        </is>
      </c>
    </row>
  </sheetData>
  <autoFilter ref="A1:I65"/>
  <pageMargins left="0.7" right="0.7" top="0.75" bottom="0.75" header="0.3" footer="0.3"/>
</worksheet>
</file>

<file path=xl/worksheets/sheet3.xml><?xml version="1.0" encoding="utf-8"?>
<worksheet xmlns="http://schemas.openxmlformats.org/spreadsheetml/2006/main">
  <sheetPr codeName="Sheet5">
    <outlinePr summaryBelow="1" summaryRight="1"/>
    <pageSetUpPr/>
  </sheetPr>
  <dimension ref="A1:L78"/>
  <sheetViews>
    <sheetView showGridLines="0" topLeftCell="A55" workbookViewId="0">
      <selection activeCell="L2" sqref="L2:L55"/>
    </sheetView>
  </sheetViews>
  <sheetFormatPr baseColWidth="8" defaultRowHeight="18.75"/>
  <sheetData>
    <row r="1">
      <c r="A1" t="inlineStr">
        <is>
          <t>参考サイト</t>
        </is>
      </c>
      <c r="L1" t="inlineStr">
        <is>
          <t>■VBA（改行）</t>
        </is>
      </c>
    </row>
    <row r="2">
      <c r="A2" t="inlineStr">
        <is>
          <t>https://ameblo.jp/motohiko-in-kumano-2013/entry-12822949492.html?frm=theme</t>
        </is>
      </c>
      <c r="L2" t="inlineStr">
        <is>
          <t>Option Explicit</t>
        </is>
      </c>
    </row>
    <row r="3">
      <c r="A3" t="inlineStr">
        <is>
          <t>https://ameblo.jp/motohiko-in-kumano-2013/entry-12822949492.html?frm=theme</t>
        </is>
      </c>
    </row>
    <row r="4">
      <c r="A4" t="inlineStr">
        <is>
          <t>https://ameblo.jp/motohiko-in-kumano-2013/entry-12822949492.html?frm=theme</t>
        </is>
      </c>
      <c r="L4" t="inlineStr">
        <is>
          <t>' G列の「1.□□2.□□3.□□4.□□」のような文字列を</t>
        </is>
      </c>
    </row>
    <row r="5">
      <c r="A5" t="inlineStr">
        <is>
          <t>https://ameblo.jp/motohiko-in-kumano-2013/entry-12822949492.html?frm=theme</t>
        </is>
      </c>
      <c r="L5" t="inlineStr">
        <is>
          <t>' 2つ目以降の「.」の直前（＝その直前の数字の直前）でセル内改行に整形します。</t>
        </is>
      </c>
    </row>
    <row r="6">
      <c r="A6" t="inlineStr">
        <is>
          <t>https://ameblo.jp/motohiko-in-kumano-2013/entry-12822949492.html?frm=theme</t>
        </is>
      </c>
      <c r="L6" t="inlineStr">
        <is>
          <t>Public Sub FormatOptionsInColumnG()</t>
        </is>
      </c>
    </row>
    <row r="7">
      <c r="A7" t="inlineStr">
        <is>
          <t>https://ameblo.jp/motohiko-in-kumano-2013/entry-12822949492.html?frm=theme</t>
        </is>
      </c>
      <c r="L7" t="inlineStr">
        <is>
          <t xml:space="preserve">    Dim ws As Worksheet</t>
        </is>
      </c>
    </row>
    <row r="8">
      <c r="A8" t="inlineStr">
        <is>
          <t>https://ameblo.jp/motohiko-in-kumano-2013/entry-12822949492.html?frm=theme</t>
        </is>
      </c>
      <c r="L8" t="inlineStr">
        <is>
          <t xml:space="preserve">    Dim startRow As Long, lastRow As Long, r As Long</t>
        </is>
      </c>
    </row>
    <row r="9">
      <c r="A9" t="inlineStr">
        <is>
          <t>https://ameblo.jp/motohiko-in-kumano-2013/entry-12822949492.html?frm=theme</t>
        </is>
      </c>
      <c r="L9" t="inlineStr">
        <is>
          <t xml:space="preserve">    Dim s As String, res As String</t>
        </is>
      </c>
    </row>
    <row r="10">
      <c r="A10" t="inlineStr">
        <is>
          <t>https://ameblo.jp/motohiko-in-kumano-2013/entry-12822949492.html?frm=theme</t>
        </is>
      </c>
      <c r="L10" t="inlineStr">
        <is>
          <t xml:space="preserve">    Dim i As Long, dotCount As Long, ch As String</t>
        </is>
      </c>
    </row>
    <row r="11">
      <c r="A11" t="inlineStr">
        <is>
          <t>https://ameblo.jp/motohiko-in-kumano-2013/entry-12822949492.html?frm=theme</t>
        </is>
      </c>
    </row>
    <row r="12">
      <c r="A12" t="inlineStr">
        <is>
          <t>https://ameblo.jp/motohiko-in-kumano-2013/entry-12823050275.html</t>
        </is>
      </c>
      <c r="L12" t="inlineStr">
        <is>
          <t xml:space="preserve">    Set ws = ActiveSheet</t>
        </is>
      </c>
    </row>
    <row r="13">
      <c r="A13" t="inlineStr">
        <is>
          <t>https://ameblo.jp/motohiko-in-kumano-2013/entry-12823050275.html</t>
        </is>
      </c>
    </row>
    <row r="14">
      <c r="A14" t="inlineStr">
        <is>
          <t>https://ameblo.jp/motohiko-in-kumano-2013/entry-12823050275.html</t>
        </is>
      </c>
      <c r="L14" t="inlineStr">
        <is>
          <t xml:space="preserve">    ' 開始行を入力（例：2）</t>
        </is>
      </c>
    </row>
    <row r="15">
      <c r="A15" t="inlineStr">
        <is>
          <t>https://ameblo.jp/motohiko-in-kumano-2013/entry-12823050275.html</t>
        </is>
      </c>
      <c r="L15" t="inlineStr">
        <is>
          <t xml:space="preserve">    startRow = CLng(Application.InputBox( _</t>
        </is>
      </c>
    </row>
    <row r="16">
      <c r="A16" t="inlineStr">
        <is>
          <t>https://ameblo.jp/motohiko-in-kumano-2013/entry-12823050275.html</t>
        </is>
      </c>
      <c r="L16" t="inlineStr">
        <is>
          <t xml:space="preserve">                  Prompt:="処理を開始する行番号を入力してください（G列）。", _</t>
        </is>
      </c>
    </row>
    <row r="17">
      <c r="A17" t="inlineStr">
        <is>
          <t>https://ameblo.jp/motohiko-in-kumano-2013/entry-12823050275.html</t>
        </is>
      </c>
      <c r="L17" t="inlineStr">
        <is>
          <t xml:space="preserve">                  Title:="開始行の指定", Type:=1))</t>
        </is>
      </c>
    </row>
    <row r="18">
      <c r="A18" t="inlineStr">
        <is>
          <t>https://ameblo.jp/motohiko-in-kumano-2013/entry-12823050275.html</t>
        </is>
      </c>
      <c r="L18" t="inlineStr">
        <is>
          <t xml:space="preserve">    If startRow &lt;= 0 Then Exit Sub</t>
        </is>
      </c>
    </row>
    <row r="19">
      <c r="A19" t="inlineStr">
        <is>
          <t>https://ameblo.jp/motohiko-in-kumano-2013/entry-12823050275.html</t>
        </is>
      </c>
    </row>
    <row r="20">
      <c r="A20" t="inlineStr">
        <is>
          <t>https://ameblo.jp/motohiko-in-kumano-2013/entry-12823050275.html</t>
        </is>
      </c>
      <c r="L20" t="inlineStr">
        <is>
          <t xml:space="preserve">    ' G列の最終行</t>
        </is>
      </c>
    </row>
    <row r="21">
      <c r="A21" t="inlineStr">
        <is>
          <t>https://ameblo.jp/motohiko-in-kumano-2013/entry-12823050275.html</t>
        </is>
      </c>
      <c r="L21" t="inlineStr">
        <is>
          <t xml:space="preserve">    lastRow = ws.Cells(ws.Rows.Count, "G").End(xlUp).Row</t>
        </is>
      </c>
    </row>
    <row r="22">
      <c r="A22" t="inlineStr">
        <is>
          <t>https://ameblo.jp/motohiko-in-kumano-2013/entry-12823050275.html</t>
        </is>
      </c>
      <c r="L22" t="inlineStr">
        <is>
          <t xml:space="preserve">    If lastRow &lt; startRow Then Exit Sub</t>
        </is>
      </c>
    </row>
    <row r="23">
      <c r="A23" t="inlineStr">
        <is>
          <t>https://ameblo.jp/motohiko-in-kumano-2013/entry-12823050275.html</t>
        </is>
      </c>
    </row>
    <row r="24">
      <c r="A24" t="inlineStr">
        <is>
          <t>https://ameblo.jp/motohiko-in-kumano-2013/entry-12823050275.html</t>
        </is>
      </c>
      <c r="L24" t="inlineStr">
        <is>
          <t xml:space="preserve">    Application.ScreenUpdating = False</t>
        </is>
      </c>
    </row>
    <row r="25">
      <c r="A25" t="inlineStr">
        <is>
          <t>https://ameblo.jp/motohiko-in-kumano-2013/entry-12823059933.html?frm=theme</t>
        </is>
      </c>
    </row>
    <row r="26">
      <c r="A26" t="inlineStr">
        <is>
          <t>https://ameblo.jp/motohiko-in-kumano-2013/entry-12823059933.html?frm=theme</t>
        </is>
      </c>
      <c r="L26" t="inlineStr">
        <is>
          <t xml:space="preserve">    For r = startRow To lastRow</t>
        </is>
      </c>
    </row>
    <row r="27">
      <c r="A27" t="inlineStr">
        <is>
          <t>https://ameblo.jp/motohiko-in-kumano-2013/entry-12823059933.html?frm=theme</t>
        </is>
      </c>
      <c r="L27" t="inlineStr">
        <is>
          <t xml:space="preserve">        s = CStr(ws.Cells(r, "G").Value)</t>
        </is>
      </c>
    </row>
    <row r="28">
      <c r="A28" t="inlineStr">
        <is>
          <t>https://ameblo.jp/motohiko-in-kumano-2013/entry-12823059933.html?frm=theme</t>
        </is>
      </c>
      <c r="L28" t="inlineStr">
        <is>
          <t xml:space="preserve">        If Len(s) &gt; 0 Then</t>
        </is>
      </c>
    </row>
    <row r="29">
      <c r="A29" t="inlineStr">
        <is>
          <t>https://ameblo.jp/motohiko-in-kumano-2013/entry-12823059933.html?frm=theme</t>
        </is>
      </c>
      <c r="L29" t="inlineStr">
        <is>
          <t xml:space="preserve">            res = ""</t>
        </is>
      </c>
    </row>
    <row r="30">
      <c r="A30" t="inlineStr">
        <is>
          <t>https://ameblo.jp/motohiko-in-kumano-2013/entry-12823059933.html?frm=theme</t>
        </is>
      </c>
      <c r="L30" t="inlineStr">
        <is>
          <t xml:space="preserve">            dotCount = 0</t>
        </is>
      </c>
    </row>
    <row r="31">
      <c r="A31" t="inlineStr">
        <is>
          <t>https://ameblo.jp/motohiko-in-kumano-2013/entry-12823059933.html?frm=theme</t>
        </is>
      </c>
    </row>
    <row r="32">
      <c r="A32" t="inlineStr">
        <is>
          <t>https://ameblo.jp/motohiko-in-kumano-2013/entry-12823059933.html?frm=theme</t>
        </is>
      </c>
      <c r="L32" t="inlineStr">
        <is>
          <t xml:space="preserve">            ' 文字を左から走査して、2つ目以降の「.」の直前に改行を挿入</t>
        </is>
      </c>
    </row>
    <row r="33">
      <c r="A33" t="inlineStr">
        <is>
          <t>https://ameblo.jp/motohiko-in-kumano-2013/entry-12823059933.html?frm=theme</t>
        </is>
      </c>
      <c r="L33" t="inlineStr">
        <is>
          <t xml:space="preserve">            For i = 1 To Len(s)</t>
        </is>
      </c>
    </row>
    <row r="34">
      <c r="A34" t="inlineStr">
        <is>
          <t>https://ameblo.jp/motohiko-in-kumano-2013/entry-12823059933.html?frm=theme</t>
        </is>
      </c>
      <c r="L34" t="inlineStr">
        <is>
          <t xml:space="preserve">                ch = Mid$(s, i, 1)</t>
        </is>
      </c>
    </row>
    <row r="35">
      <c r="A35" t="inlineStr">
        <is>
          <t>https://ameblo.jp/motohiko-in-kumano-2013/entry-12823059933.html?frm=theme</t>
        </is>
      </c>
    </row>
    <row r="36">
      <c r="A36" t="inlineStr">
        <is>
          <t>https://ameblo.jp/motohiko-in-kumano-2013/entry-12823059933.html?frm=theme</t>
        </is>
      </c>
      <c r="L36" t="inlineStr">
        <is>
          <t xml:space="preserve">                If ch = "." Then</t>
        </is>
      </c>
    </row>
    <row r="37">
      <c r="A37" t="inlineStr">
        <is>
          <t>https://ameblo.jp/motohiko-in-kumano-2013/entry-12823059933.html?frm=theme</t>
        </is>
      </c>
      <c r="L37" t="inlineStr">
        <is>
          <t xml:space="preserve">                    dotCount = dotCount + 1</t>
        </is>
      </c>
    </row>
    <row r="38">
      <c r="A38" t="inlineStr">
        <is>
          <t>https://ameblo.jp/motohiko-in-kumano-2013/entry-12823059933.html?frm=theme</t>
        </is>
      </c>
      <c r="L38" t="inlineStr">
        <is>
          <t xml:space="preserve">                    If dotCount &gt;= 2 And Len(res) &gt;= 1 Then</t>
        </is>
      </c>
    </row>
    <row r="39">
      <c r="A39" t="inlineStr">
        <is>
          <t>https://ameblo.jp/motohiko-in-kumano-2013/entry-12823059933.html?frm=theme</t>
        </is>
      </c>
      <c r="L39" t="inlineStr">
        <is>
          <t xml:space="preserve">                        ' 直前文字（通常は2,3,4などの数字）の直前に改行を挿入</t>
        </is>
      </c>
    </row>
    <row r="40">
      <c r="A40" t="inlineStr">
        <is>
          <t>https://ameblo.jp/motohiko-in-kumano-2013/entry-12823059933.html?frm=theme</t>
        </is>
      </c>
      <c r="L40" t="inlineStr">
        <is>
          <t xml:space="preserve">                        res = Left$(res, Len(res) - 1) &amp; vbLf &amp; Right$(res, 1)</t>
        </is>
      </c>
    </row>
    <row r="41">
      <c r="A41" t="inlineStr">
        <is>
          <t>https://ameblo.jp/motohiko-in-kumano-2013/entry-12823178426.html?frm=theme</t>
        </is>
      </c>
      <c r="L41" t="inlineStr">
        <is>
          <t xml:space="preserve">                    End If</t>
        </is>
      </c>
    </row>
    <row r="42">
      <c r="A42" t="inlineStr">
        <is>
          <t>https://ameblo.jp/motohiko-in-kumano-2013/entry-12823178426.html?frm=theme</t>
        </is>
      </c>
      <c r="L42" t="inlineStr">
        <is>
          <t xml:space="preserve">                    res = res &amp; ch</t>
        </is>
      </c>
    </row>
    <row r="43">
      <c r="A43" t="inlineStr">
        <is>
          <t>https://ameblo.jp/motohiko-in-kumano-2013/entry-12823178426.html?frm=theme</t>
        </is>
      </c>
      <c r="L43" t="inlineStr">
        <is>
          <t xml:space="preserve">                Else</t>
        </is>
      </c>
    </row>
    <row r="44">
      <c r="A44" t="inlineStr">
        <is>
          <t>https://ameblo.jp/motohiko-in-kumano-2013/entry-12823178426.html?frm=theme</t>
        </is>
      </c>
      <c r="L44" t="inlineStr">
        <is>
          <t xml:space="preserve">                    res = res &amp; ch</t>
        </is>
      </c>
    </row>
    <row r="45">
      <c r="A45" t="inlineStr">
        <is>
          <t>https://ameblo.jp/motohiko-in-kumano-2013/entry-12823178426.html?frm=theme</t>
        </is>
      </c>
      <c r="L45" t="inlineStr">
        <is>
          <t xml:space="preserve">                End If</t>
        </is>
      </c>
    </row>
    <row r="46">
      <c r="A46" t="inlineStr">
        <is>
          <t>https://ameblo.jp/motohiko-in-kumano-2013/entry-12823178426.html?frm=theme</t>
        </is>
      </c>
      <c r="L46" t="inlineStr">
        <is>
          <t xml:space="preserve">            Next i</t>
        </is>
      </c>
    </row>
    <row r="47">
      <c r="A47" t="inlineStr">
        <is>
          <t>https://ameblo.jp/motohiko-in-kumano-2013/entry-12823178426.html?frm=theme</t>
        </is>
      </c>
    </row>
    <row r="48">
      <c r="A48" t="inlineStr">
        <is>
          <t>https://ameblo.jp/motohiko-in-kumano-2013/entry-12823178426.html?frm=theme</t>
        </is>
      </c>
      <c r="L48" t="inlineStr">
        <is>
          <t xml:space="preserve">            ws.Cells(r, "G").Value = res</t>
        </is>
      </c>
    </row>
    <row r="49">
      <c r="A49" t="inlineStr">
        <is>
          <t>https://ameblo.jp/motohiko-in-kumano-2013/entry-12823178426.html?frm=theme</t>
        </is>
      </c>
      <c r="L49" t="inlineStr">
        <is>
          <t xml:space="preserve">            ws.Cells(r, "G").WrapText = True ' セル内改行を表示</t>
        </is>
      </c>
    </row>
    <row r="50">
      <c r="A50" t="inlineStr">
        <is>
          <t>https://ameblo.jp/motohiko-in-kumano-2013/entry-12823178426.html?frm=theme</t>
        </is>
      </c>
      <c r="L50" t="inlineStr">
        <is>
          <t xml:space="preserve">        End If</t>
        </is>
      </c>
    </row>
    <row r="51">
      <c r="A51" t="inlineStr">
        <is>
          <t>https://ameblo.jp/motohiko-in-kumano-2013/entry-12823178426.html?frm=theme</t>
        </is>
      </c>
      <c r="L51" t="inlineStr">
        <is>
          <t xml:space="preserve">    Next r</t>
        </is>
      </c>
    </row>
    <row r="52">
      <c r="A52" t="inlineStr">
        <is>
          <t>https://ameblo.jp/motohiko-in-kumano-2013/entry-12823178426.html?frm=theme</t>
        </is>
      </c>
    </row>
    <row r="53">
      <c r="A53" t="inlineStr">
        <is>
          <t>https://ameblo.jp/motohiko-in-kumano-2013/entry-12823178426.html?frm=theme</t>
        </is>
      </c>
      <c r="L53" t="inlineStr">
        <is>
          <t xml:space="preserve">    Application.ScreenUpdating = True</t>
        </is>
      </c>
    </row>
    <row r="54">
      <c r="A54" t="inlineStr">
        <is>
          <t>https://ameblo.jp/motohiko-in-kumano-2013/entry-12823178426.html?frm=theme</t>
        </is>
      </c>
      <c r="L54" t="inlineStr">
        <is>
          <t xml:space="preserve">    MsgBox "整形完了しました！", vbInformation</t>
        </is>
      </c>
    </row>
    <row r="55">
      <c r="A55" t="inlineStr">
        <is>
          <t>https://ameblo.jp/motohiko-in-kumano-2013/entry-12823828682.html?frm=theme</t>
        </is>
      </c>
      <c r="L55" t="inlineStr">
        <is>
          <t>End Sub</t>
        </is>
      </c>
    </row>
    <row r="56">
      <c r="A56" t="inlineStr">
        <is>
          <t>https://ameblo.jp/motohiko-in-kumano-2013/entry-12823828682.html?frm=theme</t>
        </is>
      </c>
    </row>
    <row r="57">
      <c r="A57" t="inlineStr">
        <is>
          <t>https://ameblo.jp/motohiko-in-kumano-2013/entry-12823828682.html?frm=theme</t>
        </is>
      </c>
    </row>
    <row r="58">
      <c r="A58" t="inlineStr">
        <is>
          <t>https://ameblo.jp/motohiko-in-kumano-2013/entry-12823828682.html?frm=theme</t>
        </is>
      </c>
    </row>
    <row r="59">
      <c r="A59" t="inlineStr">
        <is>
          <t>https://ameblo.jp/motohiko-in-kumano-2013/entry-12823828682.html?frm=theme</t>
        </is>
      </c>
    </row>
    <row r="60">
      <c r="A60" t="inlineStr">
        <is>
          <t>https://ameblo.jp/motohiko-in-kumano-2013/entry-12823828682.html?frm=theme</t>
        </is>
      </c>
    </row>
    <row r="61">
      <c r="A61" t="inlineStr">
        <is>
          <t>https://ameblo.jp/motohiko-in-kumano-2013/entry-12823828682.html?frm=theme</t>
        </is>
      </c>
    </row>
    <row r="62">
      <c r="A62" t="inlineStr">
        <is>
          <t>https://ameblo.jp/motohiko-in-kumano-2013/entry-12823828682.html?frm=theme</t>
        </is>
      </c>
    </row>
    <row r="63">
      <c r="A63" t="inlineStr">
        <is>
          <t>https://ameblo.jp/motohiko-in-kumano-2013/entry-12823828682.html?frm=theme</t>
        </is>
      </c>
    </row>
    <row r="64">
      <c r="A64" t="inlineStr">
        <is>
          <t>https://ameblo.jp/motohiko-in-kumano-2013/entry-12823828682.html?frm=theme</t>
        </is>
      </c>
    </row>
    <row r="65">
      <c r="A65" t="inlineStr">
        <is>
          <t>https://ameblo.jp/motohiko-in-kumano-2013/entry-12823828682.html?frm=theme</t>
        </is>
      </c>
    </row>
    <row r="66">
      <c r="A66" t="inlineStr">
        <is>
          <t>https://ameblo.jp/motohiko-in-kumano-2013/entry-12823828682.html?frm=theme</t>
        </is>
      </c>
    </row>
    <row r="67">
      <c r="A67" t="inlineStr">
        <is>
          <t>https://ameblo.jp/motohiko-in-kumano-2013/entry-12824169617.html?frm=theme</t>
        </is>
      </c>
    </row>
    <row r="68">
      <c r="A68" t="inlineStr">
        <is>
          <t>https://ameblo.jp/motohiko-in-kumano-2013/entry-12824169617.html?frm=theme</t>
        </is>
      </c>
    </row>
    <row r="69">
      <c r="A69" t="inlineStr">
        <is>
          <t>https://ameblo.jp/motohiko-in-kumano-2013/entry-12824169617.html?frm=theme</t>
        </is>
      </c>
    </row>
    <row r="70">
      <c r="A70" t="inlineStr">
        <is>
          <t>https://ameblo.jp/motohiko-in-kumano-2013/entry-12824169617.html?frm=theme</t>
        </is>
      </c>
    </row>
    <row r="71">
      <c r="A71" t="inlineStr">
        <is>
          <t>https://ameblo.jp/motohiko-in-kumano-2013/entry-12824169617.html?frm=theme</t>
        </is>
      </c>
    </row>
    <row r="72">
      <c r="A72" t="inlineStr">
        <is>
          <t>https://ameblo.jp/motohiko-in-kumano-2013/entry-12824169617.html?frm=theme</t>
        </is>
      </c>
    </row>
    <row r="73">
      <c r="A73" t="inlineStr">
        <is>
          <t>https://ameblo.jp/motohiko-in-kumano-2013/entry-12824169617.html?frm=theme</t>
        </is>
      </c>
    </row>
    <row r="74">
      <c r="A74" t="inlineStr">
        <is>
          <t>https://ameblo.jp/motohiko-in-kumano-2013/entry-12824169617.html?frm=theme</t>
        </is>
      </c>
    </row>
    <row r="75">
      <c r="A75" t="inlineStr">
        <is>
          <t>https://ameblo.jp/motohiko-in-kumano-2013/entry-12824169617.html?frm=theme</t>
        </is>
      </c>
    </row>
    <row r="76">
      <c r="A76" t="inlineStr">
        <is>
          <t>https://ameblo.jp/motohiko-in-kumano-2013/entry-12824169617.html?frm=theme</t>
        </is>
      </c>
    </row>
    <row r="77">
      <c r="A77" t="inlineStr">
        <is>
          <t>https://ameblo.jp/motohiko-in-kumano-2013/entry-12824169617.html?frm=theme</t>
        </is>
      </c>
    </row>
    <row r="78">
      <c r="A78" t="inlineStr">
        <is>
          <t>https://ameblo.jp/motohiko-in-kumano-2013/entry-12824169617.html?frm=theme</t>
        </is>
      </c>
    </row>
  </sheetData>
  <pageMargins left="0.7" right="0.7" top="0.75" bottom="0.75" header="0.3" footer="0.3"/>
</worksheet>
</file>

<file path=xl/worksheets/sheet4.xml><?xml version="1.0" encoding="utf-8"?>
<worksheet xmlns="http://schemas.openxmlformats.org/spreadsheetml/2006/main">
  <sheetPr filterMode="1">
    <outlinePr summaryBelow="1" summaryRight="1"/>
    <pageSetUpPr/>
  </sheetPr>
  <dimension ref="C3:D23"/>
  <sheetViews>
    <sheetView workbookViewId="0">
      <selection activeCell="C20" sqref="C20"/>
    </sheetView>
  </sheetViews>
  <sheetFormatPr baseColWidth="8" defaultRowHeight="18.75"/>
  <cols>
    <col width="44" bestFit="1" customWidth="1" min="3" max="3"/>
    <col width="46" bestFit="1" customWidth="1" min="4" max="4"/>
  </cols>
  <sheetData>
    <row r="3">
      <c r="C3" t="inlineStr">
        <is>
          <t>url</t>
        </is>
      </c>
      <c r="D3" t="inlineStr">
        <is>
          <t>h1_text</t>
        </is>
      </c>
    </row>
    <row r="4" hidden="1">
      <c r="C4" t="inlineStr">
        <is>
          <t>https://chuohoki.socialcast.jp/contents/1033</t>
        </is>
      </c>
      <c r="D4" t="inlineStr">
        <is>
          <t>5級 基本単語の読み取り</t>
        </is>
      </c>
    </row>
    <row r="5" hidden="1">
      <c r="C5" t="inlineStr">
        <is>
          <t>https://chuohoki.socialcast.jp/contents/1034</t>
        </is>
      </c>
      <c r="D5" t="inlineStr">
        <is>
          <t>5級 短文の読み取り</t>
        </is>
      </c>
    </row>
    <row r="6" hidden="1">
      <c r="C6" t="inlineStr">
        <is>
          <t>https://chuohoki.socialcast.jp/contents/1035</t>
        </is>
      </c>
      <c r="D6" t="inlineStr">
        <is>
          <t>5級 手話での表現と手話での会話参考解答①</t>
        </is>
      </c>
    </row>
    <row r="7" hidden="1">
      <c r="C7" t="inlineStr">
        <is>
          <t>https://chuohoki.socialcast.jp/contents/1036</t>
        </is>
      </c>
      <c r="D7" t="inlineStr">
        <is>
          <t>5級 手話での表現と手話での会話参考解答②</t>
        </is>
      </c>
    </row>
    <row r="8" hidden="1">
      <c r="C8" t="inlineStr">
        <is>
          <t>https://chuohoki.socialcast.jp/contents/1037</t>
        </is>
      </c>
      <c r="D8" t="inlineStr">
        <is>
          <t>4級 基本単語の読み取り</t>
        </is>
      </c>
    </row>
    <row r="9" hidden="1">
      <c r="C9" t="inlineStr">
        <is>
          <t>https://chuohoki.socialcast.jp/contents/1038</t>
        </is>
      </c>
      <c r="D9" t="inlineStr">
        <is>
          <t>4級 短文の読み取り</t>
        </is>
      </c>
    </row>
    <row r="10" hidden="1">
      <c r="C10" t="inlineStr">
        <is>
          <t>https://chuohoki.socialcast.jp/contents/1039</t>
        </is>
      </c>
      <c r="D10" t="inlineStr">
        <is>
          <t>4級 手話での表現と手話での会話参考解答①</t>
        </is>
      </c>
    </row>
    <row r="11" hidden="1">
      <c r="C11" t="inlineStr">
        <is>
          <t>https://chuohoki.socialcast.jp/contents/1040</t>
        </is>
      </c>
      <c r="D11" t="inlineStr">
        <is>
          <t>4級 手話での表現と手話での会話参考解答②</t>
        </is>
      </c>
    </row>
    <row r="12" hidden="1">
      <c r="C12" t="inlineStr">
        <is>
          <t>https://chuohoki.socialcast.jp/contents/1041</t>
        </is>
      </c>
      <c r="D12" t="inlineStr">
        <is>
          <t>3級 基本単語の読み取り</t>
        </is>
      </c>
    </row>
    <row r="13" hidden="1">
      <c r="C13" t="inlineStr">
        <is>
          <t>https://chuohoki.socialcast.jp/contents/1042</t>
        </is>
      </c>
      <c r="D13" t="inlineStr">
        <is>
          <t>3級 短文の読み取り</t>
        </is>
      </c>
    </row>
    <row r="14" hidden="1">
      <c r="C14" t="inlineStr">
        <is>
          <t>https://chuohoki.socialcast.jp/contents/1043</t>
        </is>
      </c>
      <c r="D14" t="inlineStr">
        <is>
          <t>3級 手話での表現と手話での会話参考解答①</t>
        </is>
      </c>
    </row>
    <row r="15" hidden="1">
      <c r="C15" t="inlineStr">
        <is>
          <t>https://chuohoki.socialcast.jp/contents/1044</t>
        </is>
      </c>
      <c r="D15" t="inlineStr">
        <is>
          <t>3級 手話での表現と手話での会話参考解答②</t>
        </is>
      </c>
    </row>
    <row r="16" hidden="1">
      <c r="C16" t="inlineStr">
        <is>
          <t>https://chuohoki.socialcast.jp/contents/1045</t>
        </is>
      </c>
      <c r="D16" t="inlineStr">
        <is>
          <t>2級 基本単語の読み取り</t>
        </is>
      </c>
    </row>
    <row r="17">
      <c r="C17" s="15" t="inlineStr">
        <is>
          <t>https://chuohoki.socialcast.jp/contents/1046</t>
        </is>
      </c>
      <c r="D17" t="inlineStr">
        <is>
          <t>2級 ストーリーの読み取り</t>
        </is>
      </c>
    </row>
    <row r="18" hidden="1">
      <c r="C18" t="inlineStr">
        <is>
          <t>https://chuohoki.socialcast.jp/contents/1047</t>
        </is>
      </c>
      <c r="D18" t="inlineStr">
        <is>
          <t>2級 手話での表現と手話での会話参考解答①</t>
        </is>
      </c>
    </row>
    <row r="19" hidden="1">
      <c r="C19" t="inlineStr">
        <is>
          <t>https://chuohoki.socialcast.jp/contents/1048</t>
        </is>
      </c>
      <c r="D19" t="inlineStr">
        <is>
          <t>準1級 基本単語の読み取り</t>
        </is>
      </c>
    </row>
    <row r="20">
      <c r="C20" s="15" t="inlineStr">
        <is>
          <t>https://chuohoki.socialcast.jp/contents/1049</t>
        </is>
      </c>
      <c r="D20" t="inlineStr">
        <is>
          <t>準1級 ストーリーの読み取り</t>
        </is>
      </c>
    </row>
    <row r="21" hidden="1">
      <c r="C21" t="inlineStr">
        <is>
          <t>https://chuohoki.socialcast.jp/contents/1050</t>
        </is>
      </c>
      <c r="D21" t="inlineStr">
        <is>
          <t>準1級 手話での表現と手話での会話参考解答①</t>
        </is>
      </c>
    </row>
    <row r="22">
      <c r="C22" s="15" t="inlineStr">
        <is>
          <t>https://chuohoki.socialcast.jp/contents/1051</t>
        </is>
      </c>
      <c r="D22" t="inlineStr">
        <is>
          <t>1級 ストーリーの読み取り</t>
        </is>
      </c>
    </row>
    <row r="23" hidden="1">
      <c r="C23" t="inlineStr">
        <is>
          <t>https://chuohoki.socialcast.jp/contents/1052</t>
        </is>
      </c>
      <c r="D23" t="inlineStr">
        <is>
          <t>1級 手話での表現と手話での会話参考解答①</t>
        </is>
      </c>
    </row>
  </sheetData>
  <autoFilter ref="C3:D23">
    <filterColumn colId="1" hiddenButton="0" showButton="1">
      <filters>
        <filter val="1級 ストーリーの読み取り"/>
        <filter val="2級 ストーリーの読み取り"/>
        <filter val="準1級 ストーリーの読み取り"/>
      </filters>
    </filterColumn>
  </autoFilter>
  <hyperlinks>
    <hyperlink xmlns:r="http://schemas.openxmlformats.org/officeDocument/2006/relationships" ref="C17" r:id="rId1"/>
    <hyperlink xmlns:r="http://schemas.openxmlformats.org/officeDocument/2006/relationships" ref="C20" r:id="rId2"/>
    <hyperlink xmlns:r="http://schemas.openxmlformats.org/officeDocument/2006/relationships" ref="C22" r:id="rId3"/>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ken yamada</dc:creator>
  <dcterms:created xmlns:dcterms="http://purl.org/dc/terms/" xmlns:xsi="http://www.w3.org/2001/XMLSchema-instance" xsi:type="dcterms:W3CDTF">2015-06-05T18:19:34Z</dcterms:created>
  <dcterms:modified xmlns:dcterms="http://purl.org/dc/terms/" xmlns:xsi="http://www.w3.org/2001/XMLSchema-instance" xsi:type="dcterms:W3CDTF">2026-07-18T22:11:22Z</dcterms:modified>
  <cp:lastModifiedBy>ken yamada</cp:lastModifiedBy>
</cp:coreProperties>
</file>